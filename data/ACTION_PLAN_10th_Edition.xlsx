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All departments" sheetId="1" state="visible" r:id="rId3"/>
    <sheet name="Timeline" sheetId="2" state="visible" r:id="rId4"/>
    <sheet name="Milestone shifts" sheetId="3" state="visible" r:id="rId5"/>
    <sheet name="Office of the Founder" sheetId="4" state="visible" r:id="rId6"/>
    <sheet name="Programs &amp; Competition" sheetId="5" state="visible" r:id="rId7"/>
    <sheet name="Child Welfare &amp; Safeguarding" sheetId="6" state="visible" r:id="rId8"/>
    <sheet name="Event Operations" sheetId="7" state="visible" r:id="rId9"/>
    <sheet name="Media &amp; Communications" sheetId="8" state="visible" r:id="rId10"/>
    <sheet name="Partnerships &amp; Sponsorship" sheetId="9" state="visible" r:id="rId11"/>
    <sheet name="Academy &amp; Education" sheetId="10" state="visible" r:id="rId12"/>
    <sheet name="Finance &amp; Admin" sheetId="11" state="visible" r:id="rId13"/>
    <sheet name="Technology" sheetId="12" state="visible" r:id="rId14"/>
    <sheet name="International &amp; Diplomacy" sheetId="13" state="visible" r:id="rId15"/>
    <sheet name="Read me" sheetId="14" state="visible" r:id="rId16"/>
  </sheets>
  <definedNames>
    <definedName function="false" hidden="false" localSheetId="9" name="_xlnm.Print_Area" vbProcedure="false">'Academy &amp; Education'!$A$1:$M$27</definedName>
    <definedName function="false" hidden="false" localSheetId="9" name="_xlnm.Print_Titles" vbProcedure="false">'Academy &amp; Education'!$5:$5</definedName>
    <definedName function="false" hidden="false" localSheetId="0" name="_xlnm.Print_Area" vbProcedure="false">'All departments'!$A$1:$N$44</definedName>
    <definedName function="false" hidden="false" localSheetId="5" name="_xlnm.Print_Area" vbProcedure="false">'Child Welfare &amp; Safeguarding'!$A$1:$M$30</definedName>
    <definedName function="false" hidden="false" localSheetId="5" name="_xlnm.Print_Titles" vbProcedure="false">'Child Welfare &amp; Safeguarding'!$5:$5</definedName>
    <definedName function="false" hidden="false" localSheetId="6" name="_xlnm.Print_Area" vbProcedure="false">'Event Operations'!$A$1:$M$35</definedName>
    <definedName function="false" hidden="false" localSheetId="6" name="_xlnm.Print_Titles" vbProcedure="false">'Event Operations'!$5:$5</definedName>
    <definedName function="false" hidden="false" localSheetId="10" name="_xlnm.Print_Area" vbProcedure="false">'Finance &amp; Admin'!$A$1:$M$31</definedName>
    <definedName function="false" hidden="false" localSheetId="10" name="_xlnm.Print_Titles" vbProcedure="false">'Finance &amp; Admin'!$5:$5</definedName>
    <definedName function="false" hidden="false" localSheetId="12" name="_xlnm.Print_Area" vbProcedure="false">'International &amp; Diplomacy'!$A$1:$M$27</definedName>
    <definedName function="false" hidden="false" localSheetId="12" name="_xlnm.Print_Titles" vbProcedure="false">'International &amp; Diplomacy'!$5:$5</definedName>
    <definedName function="false" hidden="false" localSheetId="7" name="_xlnm.Print_Area" vbProcedure="false">'Media &amp; Communications'!$A$1:$M$37</definedName>
    <definedName function="false" hidden="false" localSheetId="7" name="_xlnm.Print_Titles" vbProcedure="false">'Media &amp; Communications'!$5:$5</definedName>
    <definedName function="false" hidden="false" localSheetId="3" name="_xlnm.Print_Area" vbProcedure="false">'Office of the Founder'!$A$1:$M$26</definedName>
    <definedName function="false" hidden="false" localSheetId="3" name="_xlnm.Print_Titles" vbProcedure="false">'Office of the Founder'!$5:$5</definedName>
    <definedName function="false" hidden="false" localSheetId="8" name="_xlnm.Print_Area" vbProcedure="false">'Partnerships &amp; Sponsorship'!$A$1:$M$38</definedName>
    <definedName function="false" hidden="false" localSheetId="8" name="_xlnm.Print_Titles" vbProcedure="false">'Partnerships &amp; Sponsorship'!$5:$5</definedName>
    <definedName function="false" hidden="false" localSheetId="4" name="_xlnm.Print_Area" vbProcedure="false">'Programs &amp; Competition'!$A$1:$M$37</definedName>
    <definedName function="false" hidden="false" localSheetId="4" name="_xlnm.Print_Titles" vbProcedure="false">'Programs &amp; Competition'!$5:$5</definedName>
    <definedName function="false" hidden="false" localSheetId="11" name="_xlnm.Print_Area" vbProcedure="false">Technology!$A$1:$M$34</definedName>
    <definedName function="false" hidden="false" localSheetId="11" name="_xlnm.Print_Titles" vbProcedure="false">Technology!$5:$5</definedName>
    <definedName function="false" hidden="false" name="EventDate" vbProcedure="false">'All departments'!$C$4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<sst xmlns="http://schemas.openxmlformats.org/spreadsheetml/2006/main" count="1407" uniqueCount="609">
  <si>
    <t xml:space="preserve">NISMCAA 10th Edition (Nigeria Grand Finale) - Action plan: all departments</t>
  </si>
  <si>
    <t xml:space="preserve">PROPOSED: Nov 11, 2027 (Thursday). Subject to sponsor approval; may still change. (John, Oct 26, 2026) Everything is planned to finish EARLY: all work done by Sep 30, 2027, hard limit Oct 14, 2027 (4 weeks before).</t>
  </si>
  <si>
    <t xml:space="preserve">Event date (PROPOSED; change here if sponsors move it)</t>
  </si>
  <si>
    <t xml:space="preserve">All event-linked dates after Mar 31, 2027 follow this cell.</t>
  </si>
  <si>
    <t xml:space="preserve">Today</t>
  </si>
  <si>
    <t xml:space="preserve">Days to the event</t>
  </si>
  <si>
    <t xml:space="preserve">Planned: ALL work done (6 weeks before)</t>
  </si>
  <si>
    <t xml:space="preserve">Every build task has a planned finish on or before this day.</t>
  </si>
  <si>
    <t xml:space="preserve">Hard limit: all work finished (4 weeks before)</t>
  </si>
  <si>
    <t xml:space="preserve">Planned finish + 2 weeks at the latest. After this: no new tasks.</t>
  </si>
  <si>
    <t xml:space="preserve">Review / rehearsal / contingency window starts</t>
  </si>
  <si>
    <t xml:space="preserve">Runs to the day before the event. Review only.</t>
  </si>
  <si>
    <t xml:space="preserve">DEPARTMENTS</t>
  </si>
  <si>
    <t xml:space="preserve">#</t>
  </si>
  <si>
    <t xml:space="preserve">Department</t>
  </si>
  <si>
    <t xml:space="preserve">Lead</t>
  </si>
  <si>
    <t xml:space="preserve">Tasks</t>
  </si>
  <si>
    <t xml:space="preserve">Done</t>
  </si>
  <si>
    <t xml:space="preserve">Avg % progress</t>
  </si>
  <si>
    <t xml:space="preserve">RED</t>
  </si>
  <si>
    <t xml:space="preserve">AMBER</t>
  </si>
  <si>
    <t xml:space="preserve">GREEN</t>
  </si>
  <si>
    <t xml:space="preserve">GREY</t>
  </si>
  <si>
    <t xml:space="preserve">Status</t>
  </si>
  <si>
    <t xml:space="preserve">Last planned finish (before the final 4 weeks)</t>
  </si>
  <si>
    <t xml:space="preserve">Next open deadline</t>
  </si>
  <si>
    <t xml:space="preserve">Behind: task numbers</t>
  </si>
  <si>
    <t xml:space="preserve">Office of the Founder</t>
  </si>
  <si>
    <t xml:space="preserve">John (Founder)</t>
  </si>
  <si>
    <t xml:space="preserve">Programs &amp; Competition</t>
  </si>
  <si>
    <t xml:space="preserve">Project Manager</t>
  </si>
  <si>
    <t xml:space="preserve">Child Welfare &amp; Safeguarding</t>
  </si>
  <si>
    <t xml:space="preserve">To be appointed</t>
  </si>
  <si>
    <t xml:space="preserve">Event Operations</t>
  </si>
  <si>
    <t xml:space="preserve">Media &amp; Communications</t>
  </si>
  <si>
    <t xml:space="preserve">Partnerships &amp; Sponsorship</t>
  </si>
  <si>
    <t xml:space="preserve">Academy &amp; Education</t>
  </si>
  <si>
    <t xml:space="preserve">Finance &amp; Admin</t>
  </si>
  <si>
    <t xml:space="preserve">Executive Director</t>
  </si>
  <si>
    <t xml:space="preserve">Technology</t>
  </si>
  <si>
    <t xml:space="preserve">International &amp; Diplomacy</t>
  </si>
  <si>
    <t xml:space="preserve">Abisade (Legal &amp; Diplomacy Director)</t>
  </si>
  <si>
    <t xml:space="preserve">ALL DEPARTMENTS</t>
  </si>
  <si>
    <t xml:space="preserve">KEY MILESTONES (new plan around Nov 11, 2027)</t>
  </si>
  <si>
    <t xml:space="preserve">Milestone</t>
  </si>
  <si>
    <t xml:space="preserve">Planned date</t>
  </si>
  <si>
    <t xml:space="preserve">Days from today</t>
  </si>
  <si>
    <t xml:space="preserve">Weeks before the event</t>
  </si>
  <si>
    <t xml:space="preserve">Why / what moved (full list on 'Milestone shifts')</t>
  </si>
  <si>
    <t xml:space="preserve">Plan approved; legal status and budget work started</t>
  </si>
  <si>
    <t xml:space="preserve">Start unchanged (now). Each item now has a finish date: gap list Nov 6, handles Nov 13, venue shortlist Dec 18, 2026.</t>
  </si>
  <si>
    <t xml:space="preserve">Sponsor packs sent to the top 15 leads</t>
  </si>
  <si>
    <t xml:space="preserve">About 6 weeks later than the old draft, because the funding plan builds the deck first (days 15-45, to Nov 27). The event is 8 months later, so there is no pressure to send earlier than a good deck.</t>
  </si>
  <si>
    <t xml:space="preserve">Venue booked in writing</t>
  </si>
  <si>
    <t xml:space="preserve">Booked 6.5 months before the event instead of 4. A provisional hold is placed by Mar 12, 2027. The written booking waits for the Mar 31 sponsor-approval gate. Shortlist and quotes come first.</t>
  </si>
  <si>
    <t xml:space="preserve">Lagos Ministry endorsement approached</t>
  </si>
  <si>
    <t xml:space="preserve">Moved to Dec 2026-Jan 2027 so the sponsor pack and a venue shortlist go with the request.</t>
  </si>
  <si>
    <t xml:space="preserve">Theme chosen; 10th Edition announced; registration open</t>
  </si>
  <si>
    <t xml:space="preserve">Theme by Dec 11, 2026. Announcement Jan 11, 2027 (10 months before the event) so the date wording is settled first. Registration stays open from Nov 16, 2026 per the old plan.</t>
  </si>
  <si>
    <t xml:space="preserve">Rulebook frozen; judges and auditor recruited; scoring tool chosen</t>
  </si>
  <si>
    <t xml:space="preserve">Rulebook frozen Dec 18, 2026 (Jury plan). Judge recruitment opens Jan 2027, the course runs Apr-May, certificates Jun 18, auditor by Apr 30, 2027, as in the Jury plan. Press briefing Jan 22.</t>
  </si>
  <si>
    <t xml:space="preserve">Sponsor contracts and online campaign</t>
  </si>
  <si>
    <t xml:space="preserve">Follow-ups Jan 12; headline and gold sponsors in writing by Jun 30; every agreement by Aug 31, 2027. Online-only activity around Jan 16 and Feb 6, 2027 is kept.</t>
  </si>
  <si>
    <t xml:space="preserve">Sponsor-approval gate: date confirmed or changed</t>
  </si>
  <si>
    <t xml:space="preserve">New gate, because the date is proposed and subject to sponsor approval. If the date moves, change one cell and every later date moves with it.</t>
  </si>
  <si>
    <t xml:space="preserve">Registration and Academic Award nominations close</t>
  </si>
  <si>
    <t xml:space="preserve">Closes 4.5 months before the event (old plan: 6 weeks before). Qualifying rounds then have July and August.</t>
  </si>
  <si>
    <t xml:space="preserve">Qualifying rounds and scoring dry run</t>
  </si>
  <si>
    <t xml:space="preserve">Dry run is the mock round (Jun 25). Qualifying rounds Jul 5-Aug 27, 2027, as the Jury plan says Jul-Sep, pulled to finish early.</t>
  </si>
  <si>
    <t xml:space="preserve">Finalists announced; technical rehearsal plan and run sheet; media accreditation</t>
  </si>
  <si>
    <t xml:space="preserve">Finalists Sep 10, 2027. Rehearsal plan and run sheet Sep 24. Accreditation closes Sep 30.</t>
  </si>
  <si>
    <t xml:space="preserve">Program printing, judge briefing, mock scoring audit</t>
  </si>
  <si>
    <t xml:space="preserve">These were in the last 12 days. They now finish by Sep 30, 2027 (printing, mock audit and rehearsal #1). The judges' final briefing and rehearsal #2 are in the review window, as review only.</t>
  </si>
  <si>
    <t xml:space="preserve">ALL WORK DONE (planned)</t>
  </si>
  <si>
    <t xml:space="preserve">John's rule. Every build task finishes by Sep 30, 2027. The hard limit for every task is Oct 14, 2027 (4 weeks before the event).</t>
  </si>
  <si>
    <t xml:space="preserve">Hard limit: all work finished</t>
  </si>
  <si>
    <t xml:space="preserve">Event date minus 28 days. After this: no new tasks.</t>
  </si>
  <si>
    <t xml:space="preserve">Review, rehearsal and contingency window</t>
  </si>
  <si>
    <t xml:space="preserve">Oct 15 to Nov 10, 2027: review, rehearsal and contingency only.</t>
  </si>
  <si>
    <t xml:space="preserve">10th Edition Grand Finale (PROPOSED)</t>
  </si>
  <si>
    <t xml:space="preserve">Replaced by Nov 11, 2027 (John, Oct 26, 2026), a Thursday. Subject to sponsor approval; may still change. The old reasons (elections, Ramadan) no longer apply to this date; the school calendar check is a task in Event Operations.</t>
  </si>
  <si>
    <t xml:space="preserve">Results and score summary published; sponsor reports</t>
  </si>
  <si>
    <t xml:space="preserve">Same rule: 7 days after the event.</t>
  </si>
  <si>
    <t xml:space="preserve">Impact report and audited event accounts</t>
  </si>
  <si>
    <t xml:space="preserve">Same rule: within 60 days (Jan 10, 2028). Planned finish Jan 7, 2028.</t>
  </si>
  <si>
    <t xml:space="preserve">Timeline: how many tasks are active in each department, by month (Oct 2026 - Dec 2027)</t>
  </si>
  <si>
    <t xml:space="preserve">PROPOSED: Nov 11, 2027 (Thursday). Subject to sponsor approval; may still change. (John, Oct 26, 2026)</t>
  </si>
  <si>
    <t xml:space="preserve">Final 4 weeks (review only)</t>
  </si>
  <si>
    <t xml:space="preserve">EVENT (proposed)</t>
  </si>
  <si>
    <t xml:space="preserve">Sponsor-approval gate (Mar 31, 2027)</t>
  </si>
  <si>
    <t xml:space="preserve">How to read: each number is how many tasks are active in that department that month (a task is active from its start to its planned finish). Darker blue = busier. Nothing is active after Sep 30, 2027 except review, rehearsal, contingency and after-event work.</t>
  </si>
  <si>
    <t xml:space="preserve">Milestone shifts: the old plan (finals Mar 13, 2027) rebuilt around Nov 11, 2027</t>
  </si>
  <si>
    <t xml:space="preserve">Source for the old column: NISMCAA_10th_Edition_Plan.docx, section D2 (draft Oct 13, 2026). Its Mar 13, 2027 date is superseded by Nov 11, 2027 (PROPOSED; subject to sponsor approval). Old dates in that plan were suggestions.</t>
  </si>
  <si>
    <t xml:space="preserve">Old milestone (old plan D2)</t>
  </si>
  <si>
    <t xml:space="preserve">Old timing</t>
  </si>
  <si>
    <t xml:space="preserve">New milestone</t>
  </si>
  <si>
    <t xml:space="preserve">New planned date</t>
  </si>
  <si>
    <t xml:space="preserve">Shift</t>
  </si>
  <si>
    <t xml:space="preserve">Why it moved</t>
  </si>
  <si>
    <t xml:space="preserve">Oct 2026 (now): confirm legal status, FB/IG audit, claim handles, set the budget, shortlist venues</t>
  </si>
  <si>
    <t xml:space="preserve">Oct 2026</t>
  </si>
  <si>
    <t xml:space="preserve">Same start</t>
  </si>
  <si>
    <t xml:space="preserve">Early Nov 2026: send sponsor packs to the top 15 leads</t>
  </si>
  <si>
    <t xml:space="preserve">Early Nov 2026</t>
  </si>
  <si>
    <t xml:space="preserve">+7 weeks (about +2 months)</t>
  </si>
  <si>
    <t xml:space="preserve">Early Nov 2026: book the venue (4 months before the event)</t>
  </si>
  <si>
    <t xml:space="preserve">+26 weeks (about +6 months)</t>
  </si>
  <si>
    <t xml:space="preserve">Early Nov 2026: approach the Lagos Ministry for endorsement</t>
  </si>
  <si>
    <t xml:space="preserve">+13 weeks (about +3 months)</t>
  </si>
  <si>
    <t xml:space="preserve">Mid-Nov 2026: choose theme, announce, open school registration</t>
  </si>
  <si>
    <t xml:space="preserve">Mid-Nov 2026</t>
  </si>
  <si>
    <t xml:space="preserve">+8 weeks (about +2 months)</t>
  </si>
  <si>
    <t xml:space="preserve">Dec 2026: recruit judges and the auditor; choose a digital scoring tool; press briefing</t>
  </si>
  <si>
    <t xml:space="preserve">Dec 2026</t>
  </si>
  <si>
    <t xml:space="preserve">+2 weeks (about +1 months)</t>
  </si>
  <si>
    <t xml:space="preserve">Jan 2027 (election month): keep campaign going; sponsor follow-ups and contracts</t>
  </si>
  <si>
    <t xml:space="preserve">Jan 2027</t>
  </si>
  <si>
    <t xml:space="preserve">+33 weeks (about +8 months)</t>
  </si>
  <si>
    <t xml:space="preserve">(not in the old plan)</t>
  </si>
  <si>
    <t xml:space="preserve">-</t>
  </si>
  <si>
    <t xml:space="preserve">New</t>
  </si>
  <si>
    <t xml:space="preserve">End Jan 2027: registration and nominations close</t>
  </si>
  <si>
    <t xml:space="preserve">End Jan 2027</t>
  </si>
  <si>
    <t xml:space="preserve">+22 weeks (about +5 months)</t>
  </si>
  <si>
    <t xml:space="preserve">Early-mid Feb 2027: preliminaries and a dry run of scoring</t>
  </si>
  <si>
    <t xml:space="preserve">Early-mid Feb 2027</t>
  </si>
  <si>
    <t xml:space="preserve">+28 weeks (about +7 months)</t>
  </si>
  <si>
    <t xml:space="preserve">Late Feb 2027: finalists announced, technical rehearsal plan, run sheet, accreditation</t>
  </si>
  <si>
    <t xml:space="preserve">Late Feb 2027</t>
  </si>
  <si>
    <t xml:space="preserve">+30 weeks (about +7 months)</t>
  </si>
  <si>
    <t xml:space="preserve">1-12 Mar 2027: final rehearsals, judge briefing, mock scoring audit, program printing</t>
  </si>
  <si>
    <t xml:space="preserve">Last 12 days</t>
  </si>
  <si>
    <t xml:space="preserve">13 Mar 2027 (backup Mar 18)</t>
  </si>
  <si>
    <t xml:space="preserve">13 Mar 2027</t>
  </si>
  <si>
    <t xml:space="preserve">+35 weeks (about +8 months)</t>
  </si>
  <si>
    <t xml:space="preserve">Within 7 days after</t>
  </si>
  <si>
    <t xml:space="preserve">Within 7 days</t>
  </si>
  <si>
    <t xml:space="preserve">Within 60 days after</t>
  </si>
  <si>
    <t xml:space="preserve">Within 60 days</t>
  </si>
  <si>
    <t xml:space="preserve">Office of the Founder - 10th Edition action plan</t>
  </si>
  <si>
    <t xml:space="preserve">Lead: Founder &amp; President (Olushola John Adebowale)</t>
  </si>
  <si>
    <t xml:space="preserve">Behind:</t>
  </si>
  <si>
    <t xml:space="preserve">Flag rule: RED if the deadline has passed and the task is not done, or 30+ points behind the time used. AMBER 15-29 points. GREEN otherwise. GREY if there is no deadline or the task is on hold. Shaded rows are the final 4 weeks: review, rehearsal and contingency only.</t>
  </si>
  <si>
    <t xml:space="preserve">No.</t>
  </si>
  <si>
    <t xml:space="preserve">Task</t>
  </si>
  <si>
    <t xml:space="preserve">Owner</t>
  </si>
  <si>
    <t xml:space="preserve">Start</t>
  </si>
  <si>
    <t xml:space="preserve">Deadline
(planned finish)</t>
  </si>
  <si>
    <t xml:space="preserve">Hard limit
(+2 weeks)</t>
  </si>
  <si>
    <t xml:space="preserve">% progress</t>
  </si>
  <si>
    <t xml:space="preserve">Days left</t>
  </si>
  <si>
    <t xml:space="preserve">Time used</t>
  </si>
  <si>
    <t xml:space="preserve">Points behind</t>
  </si>
  <si>
    <t xml:space="preserve">Flag</t>
  </si>
  <si>
    <t xml:space="preserve">Notes</t>
  </si>
  <si>
    <t xml:space="preserve">PHASE 1 - FOUNDATIONS: tasks that start Oct 26 - Dec 31, 2026</t>
  </si>
  <si>
    <t xml:space="preserve">Confirm the eligibility gap list: legal status (CAC), U.S. status and accounts</t>
  </si>
  <si>
    <t xml:space="preserve">Not started</t>
  </si>
  <si>
    <t xml:space="preserve">Source: Funding plan section 7 (days 1-14) and 10th Edition plan D2 ('Confirm legal status'). The funding plan wanted this by Oct 28; set to Nov 6 because nothing has started.</t>
  </si>
  <si>
    <t xml:space="preserve">Decide the public wording for the date: '2027 - Get ready!' or 'proposed Nov 11, 2027'</t>
  </si>
  <si>
    <t xml:space="preserve">Source: DECISIONS_CHECKLIST F17 (open ruling). Public pages must say PROPOSED until the date is confirmed.</t>
  </si>
  <si>
    <t xml:space="preserve">Approve the Jury System plan, this action plan and the open decisions list</t>
  </si>
  <si>
    <t xml:space="preserve">Source: Jury System plan section 23 ('Nov 2026: John approves this plan'). Approving this action plan is Suggested.</t>
  </si>
  <si>
    <t xml:space="preserve">Choose the 10th Edition theme (options in plan D3)</t>
  </si>
  <si>
    <t xml:space="preserve">Source: 10th Edition plan D2 ('Mid-Nov 2026: choose the theme') and D3 theme ideas.</t>
  </si>
  <si>
    <t xml:space="preserve">Appoint heads for the 7 departments that have no lead yet (after volunteer assessment)</t>
  </si>
  <si>
    <t xml:space="preserve">Source: Volunteer Roles file ('heads appointed after a few weeks of assessing volunteer contributions'). Dependent: every other department sheet.</t>
  </si>
  <si>
    <t xml:space="preserve">Monthly plan review with all department heads (last Monday of each month)</t>
  </si>
  <si>
    <t xml:space="preserve">Suggested. Use the Meeting Room action plan sheets; any RED or AMBER flag is discussed first.</t>
  </si>
  <si>
    <t xml:space="preserve">Record a short Founder video: why NISMCAA turns 10</t>
  </si>
  <si>
    <t xml:space="preserve">Source: 10th Edition plan A4 calendar day 5 (founder video). Wording must follow the date decision above.</t>
  </si>
  <si>
    <t xml:space="preserve">PHASE 2 - BUILD AND RECRUIT: tasks that start Jan 1 - Jun 30, 2027</t>
  </si>
  <si>
    <t xml:space="preserve">Sponsor approval gate: confirm or change the Nov 11, 2027 date using sponsor feedback</t>
  </si>
  <si>
    <t xml:space="preserve">Suggested. If the date changes, change the Event date cell on 'All departments'; every date after Mar 31, 2027 moves with it. Re-check the 4-week rule.</t>
  </si>
  <si>
    <t xml:space="preserve">Founder-level meetings with the headline sponsor and key partners</t>
  </si>
  <si>
    <t xml:space="preserve">Source: Funding plan section 7 (sponsor meetings), extended. Suggested timing.</t>
  </si>
  <si>
    <t xml:space="preserve">Approve the VIP, patron and dignitary guest list</t>
  </si>
  <si>
    <t xml:space="preserve">To be appointed (Protocol &amp; Guest Liaison)</t>
  </si>
  <si>
    <t xml:space="preserve">Suggested. Role from Volunteer Roles file (Protocol &amp; Guest Liaison Officer).</t>
  </si>
  <si>
    <t xml:space="preserve">PHASE 3 - RUN AND PREPARE: tasks that start Jul 1 - Sep 30, 2027 (all finish by Sep 30; hard limit Oct 14)</t>
  </si>
  <si>
    <t xml:space="preserve">Send invitations to patrons, VIPs and dignitaries</t>
  </si>
  <si>
    <t xml:space="preserve">To be appointed (Correspondence Assistant)</t>
  </si>
  <si>
    <t xml:space="preserve">Suggested. Role from Volunteer Roles file (Correspondence &amp; Communications Assistant).</t>
  </si>
  <si>
    <t xml:space="preserve">Founder sign-off: every department head confirms all build tasks are done</t>
  </si>
  <si>
    <t xml:space="preserve">John's rule: all work done at least 4 weeks before the event. Hard limit Oct 14, 2027.</t>
  </si>
  <si>
    <t xml:space="preserve">PHASE 4 - FINAL 4 WEEKS (Oct 15 - Nov 10, 2027): REVIEW, REHEARSAL AND CONTINGENCY ONLY. NO NEW TASKS.</t>
  </si>
  <si>
    <t xml:space="preserve">Final go / no-go meeting with all department heads</t>
  </si>
  <si>
    <t xml:space="preserve">Review only. No new tasks may be added after Oct 14, 2027.</t>
  </si>
  <si>
    <t xml:space="preserve">Protocol rehearsal for VIPs, patrons and guests (seating, welcome, introductions)</t>
  </si>
  <si>
    <t xml:space="preserve">Review/rehearsal only. Suggested.</t>
  </si>
  <si>
    <t xml:space="preserve">PHASE 5 - EVENT DAY AND AFTER (from Nov 11, 2027)</t>
  </si>
  <si>
    <t xml:space="preserve">Thank-you letters to patrons, guests, sponsors and volunteers</t>
  </si>
  <si>
    <t xml:space="preserve">Suggested. Source: 10th Edition plan D2 (thank-you posts and sponsor reports).</t>
  </si>
  <si>
    <t xml:space="preserve">Debrief and lessons-learned report from every department to the Founder</t>
  </si>
  <si>
    <t xml:space="preserve">Suggested. Mirrors the debrief step in the Academy launch plan (T+1 week).</t>
  </si>
  <si>
    <t xml:space="preserve">Programs &amp; Competition - 10th Edition action plan</t>
  </si>
  <si>
    <t xml:space="preserve">Lead: Project Manager / Secretariat (Chief Judge: Dr Teemac Omotshola Iseli)</t>
  </si>
  <si>
    <t xml:space="preserve">School registration window open: check each school entry, answer questions</t>
  </si>
  <si>
    <t xml:space="preserve">Source: 10th Edition plan D2 (registration opens mid-Nov 2026). Closing date moved from end Jan 2027 to Jun 30, 2027 - see Milestone shifts. Public date wording follows John's decision.</t>
  </si>
  <si>
    <t xml:space="preserve">Draft rulebook v2027.1: rubric, scoring algorithms, vote rules, aid statuses, penalty ranges, tie, rounding and appeal rules</t>
  </si>
  <si>
    <t xml:space="preserve">Chief Judge</t>
  </si>
  <si>
    <t xml:space="preserve">Source: Jury System plan section 23 (Dec 2026). Values marked 'John to confirm' in section 24 stay open until John decides.</t>
  </si>
  <si>
    <t xml:space="preserve">Approve and freeze rulebook v2027.1 (before any entries are scored)</t>
  </si>
  <si>
    <t xml:space="preserve">Source: Jury System plan section 23 ('approved and frozen before entries open').</t>
  </si>
  <si>
    <t xml:space="preserve">Publish the rubric and rules to all schools</t>
  </si>
  <si>
    <t xml:space="preserve">Source: 10th Edition plan D5 (published rubric before the competition).</t>
  </si>
  <si>
    <t xml:space="preserve">Jury applications open (agreement tick box, no referees)</t>
  </si>
  <si>
    <t xml:space="preserve">Source: Jury System plan section 23 (Jan 2027) and Volunteer Roles vetting rules.</t>
  </si>
  <si>
    <t xml:space="preserve">Record benchmark performances and reference-score them</t>
  </si>
  <si>
    <t xml:space="preserve">Source: Jury System plan section 23 (Feb-Mar 2027).</t>
  </si>
  <si>
    <t xml:space="preserve">Build the Judges' Course and tests (80% pass; attempt counter)</t>
  </si>
  <si>
    <t xml:space="preserve">Source: Jury System plan sections 7 and 23. Time between attempts: John to confirm.</t>
  </si>
  <si>
    <t xml:space="preserve">Judges' Course cohort 1: course, tests and interviews</t>
  </si>
  <si>
    <t xml:space="preserve">Source: Jury System plan section 23 (Apr-May 2027).</t>
  </si>
  <si>
    <t xml:space="preserve">Issue judge certificates; name reserve judges</t>
  </si>
  <si>
    <t xml:space="preserve">Source: Jury System plan sections 7.3, 11.4 and 23 (Jun 2027).</t>
  </si>
  <si>
    <t xml:space="preserve">Mock round using 9th Edition data: first full test of the scoring workflow</t>
  </si>
  <si>
    <t xml:space="preserve">Source: Jury System plan section 23 (Jun 2027) and plan D5 ('dry run'). Joint with Technology.</t>
  </si>
  <si>
    <t xml:space="preserve">Judge agreements signed by every appointed judge</t>
  </si>
  <si>
    <t xml:space="preserve">Source: Judge_Agreement document on file. Each judge's terms are set by the organizer (John to supply).</t>
  </si>
  <si>
    <t xml:space="preserve">Record roster and photos for every entry (mandatory on the online form)</t>
  </si>
  <si>
    <t xml:space="preserve">Source: Jury System plan section 16.6 and the Online Registration Standard draft.</t>
  </si>
  <si>
    <t xml:space="preserve">Qualifying rounds in batches (panels added as registrations grow)</t>
  </si>
  <si>
    <t xml:space="preserve">Source: Jury System plan section 23 (Jul-Sep 2027), pulled earlier to finish by the end of August.</t>
  </si>
  <si>
    <t xml:space="preserve">Announce finalists and notify schools</t>
  </si>
  <si>
    <t xml:space="preserve">Source: 10th Edition plan D2 ('finalists announced'), moved to Sep 2027.</t>
  </si>
  <si>
    <t xml:space="preserve">Collect conflict-of-interest declarations; assign judging panels</t>
  </si>
  <si>
    <t xml:space="preserve">Source: Jury System plan section 23 (was Oct 2027; moved earlier so nothing is left for the final month).</t>
  </si>
  <si>
    <t xml:space="preserve">Nominee vote cards issued and public voting opens</t>
  </si>
  <si>
    <t xml:space="preserve">Source: Jury System plan sections 12 and 23. Voting then stays open until the finals (running, not a new task). Show/hide leaderboard: John to decide.</t>
  </si>
  <si>
    <t xml:space="preserve">Running order of the finals locked (with the 20-30 minute buffer before results)</t>
  </si>
  <si>
    <t xml:space="preserve">Source: 10th Edition plan D5 (buffer time). Suggested date.</t>
  </si>
  <si>
    <t xml:space="preserve">Judges' calibration day</t>
  </si>
  <si>
    <t xml:space="preserve">Source: Jury System plan section 23 (was Oct 2027; moved earlier).</t>
  </si>
  <si>
    <t xml:space="preserve">Full rehearsal #1 of the results process: scoring, mock audit, two-person sign-off, sealed envelope</t>
  </si>
  <si>
    <t xml:space="preserve">Source: 10th Edition plan D2 (mock scoring audit) and D5 (two-person sign-off).</t>
  </si>
  <si>
    <t xml:space="preserve">Programs sign-off: every competition task complete</t>
  </si>
  <si>
    <t xml:space="preserve">John's rule: done at least 4 weeks before the event.</t>
  </si>
  <si>
    <t xml:space="preserve">Judges' final briefing; confirm reserve judges</t>
  </si>
  <si>
    <t xml:space="preserve">Review only. Source: 10th Edition plan D2 (judge briefing).</t>
  </si>
  <si>
    <t xml:space="preserve">Full rehearsal #2 of the results process (review of #1 fixes only)</t>
  </si>
  <si>
    <t xml:space="preserve">Review/rehearsal only. Source: Jury System plan section 23.</t>
  </si>
  <si>
    <t xml:space="preserve">Performer and stage rehearsal with Event Operations</t>
  </si>
  <si>
    <t xml:space="preserve">Finals day: finals held, voting closes, results released after sign-off</t>
  </si>
  <si>
    <t xml:space="preserve">Source: Jury System plan section 23. The date is PROPOSED.</t>
  </si>
  <si>
    <t xml:space="preserve">Per-school reports delivered (each school's appeal window starts on delivery)</t>
  </si>
  <si>
    <t xml:space="preserve">Source: Jury System plan section 23 (within 48 hours).</t>
  </si>
  <si>
    <t xml:space="preserve">Publish verified results and score summary</t>
  </si>
  <si>
    <t xml:space="preserve">Source: 10th Edition plan D2 and D5 (within 7 days).</t>
  </si>
  <si>
    <t xml:space="preserve">Appeals reviewed and closed; judge consistency reports; records archived</t>
  </si>
  <si>
    <t xml:space="preserve">Source: Jury System plan sections 20-22 and 23 (Dec 2027). Note: plan D5 said a 72-hour appeal window, the later Jury plan says 7 days. The Jury plan is used here.</t>
  </si>
  <si>
    <t xml:space="preserve">Child Welfare &amp; Safeguarding - 10th Edition action plan</t>
  </si>
  <si>
    <t xml:space="preserve">Lead: Lead to be appointed after volunteer assessment (Designated Safeguarding Lead)</t>
  </si>
  <si>
    <t xml:space="preserve">Review and finalize the Child Protection Policy and photo-consent forms (draft exists)</t>
  </si>
  <si>
    <t xml:space="preserve">To be appointed (Safeguarding Lead)</t>
  </si>
  <si>
    <t xml:space="preserve">Source: Funding plan section 7 (draft safeguarding policy and consent forms); draft on file: NISMCAA_Child_Protection_Policy_DRAFT.</t>
  </si>
  <si>
    <t xml:space="preserve">Appoint the Designated Safeguarding Lead (DSL)</t>
  </si>
  <si>
    <t xml:space="preserve">Source: Volunteer Roles file (all child-welfare roles report to the DSL).</t>
  </si>
  <si>
    <t xml:space="preserve">Founder approves the Child Protection Policy</t>
  </si>
  <si>
    <t xml:space="preserve">Suggested. Funders and schools ask for this first.</t>
  </si>
  <si>
    <t xml:space="preserve">Finalize photo and media consent forms for schools and parents</t>
  </si>
  <si>
    <t xml:space="preserve">To be appointed (DSL)</t>
  </si>
  <si>
    <t xml:space="preserve">Source: 10th Edition plan A1 (written consent before posting minors).</t>
  </si>
  <si>
    <t xml:space="preserve">Finalize volunteer vetting steps: course, 80% test, 9/10 child-protection score, ID, background check for extra-check roles</t>
  </si>
  <si>
    <t xml:space="preserve">Source: Volunteer Roles file (vetting rules).</t>
  </si>
  <si>
    <t xml:space="preserve">Accessibility and special-needs plan for entrants and audience</t>
  </si>
  <si>
    <t xml:space="preserve">To be appointed (Special Needs Support)</t>
  </si>
  <si>
    <t xml:space="preserve">Source: Funding plan section 6 (accessibility plan is a gap). Registration form already asks for special-needs details.</t>
  </si>
  <si>
    <t xml:space="preserve">Recruit and vet child-facing volunteers (welfare officers, chaperones, reunion point, special-needs support)</t>
  </si>
  <si>
    <t xml:space="preserve">Source: Volunteer Roles file.</t>
  </si>
  <si>
    <t xml:space="preserve">Write the lost-child and reunion procedure (code word, reunion point, release only to authorized adults)</t>
  </si>
  <si>
    <t xml:space="preserve">Suggested. Adapted from the lost-child steps in the Academy launch plan.</t>
  </si>
  <si>
    <t xml:space="preserve">Chaperone ratios and group-supervision plan; arrival and departure plan with Event Operations</t>
  </si>
  <si>
    <t xml:space="preserve">Suggested.</t>
  </si>
  <si>
    <t xml:space="preserve">Arrange first aid cover and an incident log</t>
  </si>
  <si>
    <t xml:space="preserve">To be appointed (First Aid &amp; Wellbeing)</t>
  </si>
  <si>
    <t xml:space="preserve">Source: Volunteer Roles file (First Aid &amp; Wellbeing). Suggested timing.</t>
  </si>
  <si>
    <t xml:space="preserve">Collect school and parent consent for all performers; share consent lists with Media</t>
  </si>
  <si>
    <t xml:space="preserve">Suggested. Media posts only consented children.</t>
  </si>
  <si>
    <t xml:space="preserve">Safeguarding training for all child-facing volunteers</t>
  </si>
  <si>
    <t xml:space="preserve">Source: Academy launch plan uses the same training step. Suggested timing.</t>
  </si>
  <si>
    <t xml:space="preserve">All child-facing volunteers cleared and issued IDs</t>
  </si>
  <si>
    <t xml:space="preserve">Source: Volunteer Roles file (no ID until management approval).</t>
  </si>
  <si>
    <t xml:space="preserve">Incident reporting and escalation process; safeguarding briefing pack</t>
  </si>
  <si>
    <t xml:space="preserve">Safeguarding sign-off: every task complete</t>
  </si>
  <si>
    <t xml:space="preserve">Briefing for all child-facing volunteers (review of plan only)</t>
  </si>
  <si>
    <t xml:space="preserve">Review only. Suggested.</t>
  </si>
  <si>
    <t xml:space="preserve">Child-safety walk-through of the venue with Event Operations (exits, toilets, reunion point, quiet room)</t>
  </si>
  <si>
    <t xml:space="preserve">Table-top drill: lost child and medical emergency</t>
  </si>
  <si>
    <t xml:space="preserve">Contingency only. Suggested.</t>
  </si>
  <si>
    <t xml:space="preserve">Review the incident log and report to the Founder</t>
  </si>
  <si>
    <t xml:space="preserve">Archive consent records and apply the data-retention rule</t>
  </si>
  <si>
    <t xml:space="preserve">Source: Jury System plan section 21. Retention period (2 or 3 years): John to confirm.</t>
  </si>
  <si>
    <t xml:space="preserve">Event Operations - 10th Edition action plan</t>
  </si>
  <si>
    <t xml:space="preserve">Lead: Lead to be appointed after volunteer assessment (Event Operations Manager)</t>
  </si>
  <si>
    <t xml:space="preserve">Venue shortlist and requirements: capacity, stage, backstage, rehearsal rooms, AV, power backup, access, parking</t>
  </si>
  <si>
    <t xml:space="preserve">To be appointed (Event Operations Manager)</t>
  </si>
  <si>
    <t xml:space="preserve">Source: 10th Edition plan D2 (shortlist venues) and D4 options: UNILAG auditoria, MUSON Centre, NUT Pavilion, Adeyemi-Bero Auditorium, hotel/events center. JK Ade Ajayi Auditorium is also discussed (confirmed only after a written booking).</t>
  </si>
  <si>
    <t xml:space="preserve">Check the Lagos school calendar and public holidays for Thursday Nov 11, 2027</t>
  </si>
  <si>
    <t xml:space="preserve">Source: 10th Edition plan D1. Nov 11, 2027 is a Thursday. The 2027/28 calendar may not be published yet; re-check below.</t>
  </si>
  <si>
    <t xml:space="preserve">Request quotes and availability for Nov 11, 2027 and a backup date from at least 3 venues</t>
  </si>
  <si>
    <t xml:space="preserve">Source: 10th Edition plan D6 (at least 3 quotes). Backup date: John to supply.</t>
  </si>
  <si>
    <t xml:space="preserve">Provisional venue hold (no commitment before the sponsor approval gate)</t>
  </si>
  <si>
    <t xml:space="preserve">Confirm the venue booking in writing after the date gate</t>
  </si>
  <si>
    <t xml:space="preserve">Source: 10th Edition plan D2 (book the venue; originally early Nov 2026). Do not call the venue confirmed until a written booking exists.</t>
  </si>
  <si>
    <t xml:space="preserve">Recruit and vet Event Operations volunteers: front desk, hospitality, sanitation, security, logistics, ushering</t>
  </si>
  <si>
    <t xml:space="preserve">Site visit with Technology, Child Welfare and Media</t>
  </si>
  <si>
    <t xml:space="preserve">Re-check the Lagos school calendar once the 2027/28 dates are published</t>
  </si>
  <si>
    <t xml:space="preserve">Insurance, permits, venue rules and the venue emergency plan</t>
  </si>
  <si>
    <t xml:space="preserve">Source: 10th Edition plan D6 (security, first aid, insurance lines).</t>
  </si>
  <si>
    <t xml:space="preserve">Door and ticket procedure agreed: unique ticket code, one use, scanned at entry</t>
  </si>
  <si>
    <t xml:space="preserve">Source: NISMCAA website knowledge (unique ticket code recorded at admission). The payment link is on hold (see Technology).</t>
  </si>
  <si>
    <t xml:space="preserve">School arrival and departure plan; equipment transport and logistics</t>
  </si>
  <si>
    <t xml:space="preserve">Source: Volunteer Roles file (Logistics &amp; Transport). Suggested timing.</t>
  </si>
  <si>
    <t xml:space="preserve">Hospitality plan: green room, refreshments for judges, guests and performers</t>
  </si>
  <si>
    <t xml:space="preserve">Source: Volunteer Roles file (Hospitality).</t>
  </si>
  <si>
    <t xml:space="preserve">Security and crowd-safety plan agreed with the venue</t>
  </si>
  <si>
    <t xml:space="preserve">Source: Volunteer Roles file (Security &amp; Crowd Safety).</t>
  </si>
  <si>
    <t xml:space="preserve">Check-in plan: badges, wristbands and check-in lists built from the rosters</t>
  </si>
  <si>
    <t xml:space="preserve">Source: Volunteer Roles file (Registration &amp; Front Desk).</t>
  </si>
  <si>
    <t xml:space="preserve">Run sheet for finals day (includes the buffer before results are announced)</t>
  </si>
  <si>
    <t xml:space="preserve">Source: 10th Edition plan D2 (run sheet) and D5 (20-30 minute buffer).</t>
  </si>
  <si>
    <t xml:space="preserve">Technical rehearsal plan, floor plan and signage plan</t>
  </si>
  <si>
    <t xml:space="preserve">Source: 10th Edition plan D2 (technical rehearsal plan).</t>
  </si>
  <si>
    <t xml:space="preserve">Contingency plan: power or internet failure, weather and traffic, volunteer no-shows</t>
  </si>
  <si>
    <t xml:space="preserve">Source: Jury System plan section 15.1 (emergency backup). Suggested for the rest.</t>
  </si>
  <si>
    <t xml:space="preserve">Event Operations sign-off: every task complete</t>
  </si>
  <si>
    <t xml:space="preserve">Venue walk-through with all department leads</t>
  </si>
  <si>
    <t xml:space="preserve">Review only.</t>
  </si>
  <si>
    <t xml:space="preserve">Volunteer briefing; roster and ID check</t>
  </si>
  <si>
    <t xml:space="preserve">Full dress rehearsal on site: stage, sound, lights, performer flow</t>
  </si>
  <si>
    <t xml:space="preserve">Rehearsal only. Venue access permitting.</t>
  </si>
  <si>
    <t xml:space="preserve">Final contingency check: weather, transport, power, volunteer cover</t>
  </si>
  <si>
    <t xml:space="preserve">Contingency only.</t>
  </si>
  <si>
    <t xml:space="preserve">Event day operations</t>
  </si>
  <si>
    <t xml:space="preserve">The date is PROPOSED.</t>
  </si>
  <si>
    <t xml:space="preserve">Venue hand-back, equipment return, lost property</t>
  </si>
  <si>
    <t xml:space="preserve">Volunteer debrief and feedback summary</t>
  </si>
  <si>
    <t xml:space="preserve">Media &amp; Communications - 10th Edition action plan</t>
  </si>
  <si>
    <t xml:space="preserve">Lead: Lead to be appointed after volunteer assessment (Media Lead)</t>
  </si>
  <si>
    <t xml:space="preserve">Audit the Facebook and Instagram accounts: handle, bio, link, category, Business Suite with 2+ admins and 2FA, baseline numbers</t>
  </si>
  <si>
    <t xml:space="preserve">To be appointed (Social Media &amp; Content)</t>
  </si>
  <si>
    <t xml:space="preserve">Source: 10th Edition plan A1 (audit, about 2 hours) and D2 (Oct 2026).</t>
  </si>
  <si>
    <t xml:space="preserve">Claim the same handle on TikTok, YouTube, LinkedIn, X and a WhatsApp Channel (first choice @nismcaa)</t>
  </si>
  <si>
    <t xml:space="preserve">Source: 10th Edition plan A2 and D2 (Oct 2026). Use the organization email, never a personal one.</t>
  </si>
  <si>
    <t xml:space="preserve">Set up the TikTok and YouTube channels (brand account, 2 managers, banner, trailer)</t>
  </si>
  <si>
    <t xml:space="preserve">Source: 10th Edition plan A2.</t>
  </si>
  <si>
    <t xml:space="preserve">Agree social media safeguarding rules with Child Welfare (consent before posting minors, comment filters)</t>
  </si>
  <si>
    <t xml:space="preserve">To be appointed (Media Lead)</t>
  </si>
  <si>
    <t xml:space="preserve">Source: 10th Edition plan A1.</t>
  </si>
  <si>
    <t xml:space="preserve">Brand pack: logo with a 10th-edition badge, Facebook cover, highlights, press kit</t>
  </si>
  <si>
    <t xml:space="preserve">Collect archive photos and videos of editions 1-9 (with consent) for playlists and the sponsor deck</t>
  </si>
  <si>
    <t xml:space="preserve">To be appointed (Photography &amp; Video)</t>
  </si>
  <si>
    <t xml:space="preserve">Source: Funding plan section 7 (gather the archive); plan A2 (past performances).</t>
  </si>
  <si>
    <t xml:space="preserve">Monthly numbers report: followers, reach, engagement against the baseline</t>
  </si>
  <si>
    <t xml:space="preserve">Source: 10th Edition plan A1 (baseline numbers). Running task.</t>
  </si>
  <si>
    <t xml:space="preserve">Press release and press briefing for the announcement</t>
  </si>
  <si>
    <t xml:space="preserve">To be appointed (Press &amp; PR)</t>
  </si>
  <si>
    <t xml:space="preserve">Source: 10th Edition plan D2 (Dec 2026 press briefing) and press release template. Keep amounts and scoring details out of public copy until they are final.</t>
  </si>
  <si>
    <t xml:space="preserve">Update the website: key dates, 'How we judge' page, press page (with Technology)</t>
  </si>
  <si>
    <t xml:space="preserve">Source: 10th Edition plan D5 (website page on judging).</t>
  </si>
  <si>
    <t xml:space="preserve">Announce the 10th Edition and run the 30-day launch calendar (online only)</t>
  </si>
  <si>
    <t xml:space="preserve">Source: 10th Edition plan A4 (day 1 = announcement). Avoid physical events around Jan 16 and Feb 6, 2027 (election dates in the source). Wording follows John's date decision.</t>
  </si>
  <si>
    <t xml:space="preserve">'How we judge' campaign: carousel and video on the new safeguards</t>
  </si>
  <si>
    <t xml:space="preserve">Source: 10th Edition plan D5.</t>
  </si>
  <si>
    <t xml:space="preserve">Regular posting rhythm by content pillar (Instagram 4 posts + 3 Reels a week; Facebook 4-5 a week)</t>
  </si>
  <si>
    <t xml:space="preserve">Source: 10th Edition plan A1 and A3. Running task.</t>
  </si>
  <si>
    <t xml:space="preserve">Recruit and vet Media volunteers: photography and video, social media, press</t>
  </si>
  <si>
    <t xml:space="preserve">Venue reveal content (after the written booking)</t>
  </si>
  <si>
    <t xml:space="preserve">Source: 10th Edition plan A3 (venue reveal). Only after the venue is confirmed in writing.</t>
  </si>
  <si>
    <t xml:space="preserve">'Meet the judges' series (after certificates)</t>
  </si>
  <si>
    <t xml:space="preserve">Source: 10th Edition plan A4 (day 16).</t>
  </si>
  <si>
    <t xml:space="preserve">Photo and video shot list; consent list from Child Welfare; live-stream plan with Technology</t>
  </si>
  <si>
    <t xml:space="preserve">Program booklet content final and proofread (sponsor list from Partnerships)</t>
  </si>
  <si>
    <t xml:space="preserve">Source: 10th Edition plan D2 (program printing, originally the last 12 days; moved to September).</t>
  </si>
  <si>
    <t xml:space="preserve">Media accreditation: open, review and close</t>
  </si>
  <si>
    <t xml:space="preserve">Source: 10th Edition plan D2 (media accreditation, originally late Feb).</t>
  </si>
  <si>
    <t xml:space="preserve">Sponsor reveals and thank-you posts; finalist spotlights</t>
  </si>
  <si>
    <t xml:space="preserve">Source: 10th Edition plan A3. Suggested timing.</t>
  </si>
  <si>
    <t xml:space="preserve">Program, banners and backdrop printed and delivered</t>
  </si>
  <si>
    <t xml:space="preserve">Source: 10th Edition plan D6 (branding) and D2. Delivered at least 4 weeks before the event.</t>
  </si>
  <si>
    <t xml:space="preserve">Media sign-off: every task complete</t>
  </si>
  <si>
    <t xml:space="preserve">Dry run of the event-day posting and live-stream plan; proofread pre-written posts</t>
  </si>
  <si>
    <t xml:space="preserve">Review/rehearsal only.</t>
  </si>
  <si>
    <t xml:space="preserve">Countdown posts go out from the scheduled queue (no new content)</t>
  </si>
  <si>
    <t xml:space="preserve">Review only. Source: 10th Edition plan A3 (countdown pillar).</t>
  </si>
  <si>
    <t xml:space="preserve">Event-day live coverage and the press release</t>
  </si>
  <si>
    <t xml:space="preserve">Thank-you posts and photo selection (consented children only)</t>
  </si>
  <si>
    <t xml:space="preserve">Source: 10th Edition plan D2 (within 7 days).</t>
  </si>
  <si>
    <t xml:space="preserve">Results article and media follow-up</t>
  </si>
  <si>
    <t xml:space="preserve">Highlight video and year-end recap</t>
  </si>
  <si>
    <t xml:space="preserve">Partnerships &amp; Sponsorship - 10th Edition action plan</t>
  </si>
  <si>
    <t xml:space="preserve">Lead: Lead to be appointed after volunteer assessment (Partnerships Lead)</t>
  </si>
  <si>
    <t xml:space="preserve">Submit the Alliance Française Lagos 2027 project (call open Oct 1-31, 2026)</t>
  </si>
  <si>
    <t xml:space="preserve">Source: Funding plan sections 2 and 7. Funder deadline Oct 31, 2026. URGENT: John to name an owner. Confirm the official AF Lagos page first.</t>
  </si>
  <si>
    <t xml:space="preserve">Build the sponsor deck: story, nine editions, audience, inclusion, tiers (tier values stay with John)</t>
  </si>
  <si>
    <t xml:space="preserve">To be appointed (Partnerships Lead)</t>
  </si>
  <si>
    <t xml:space="preserve">Source: Funding plan section 7 (days 15-45).</t>
  </si>
  <si>
    <t xml:space="preserve">Gather editions 1-9 archive facts and impact numbers (verified only)</t>
  </si>
  <si>
    <t xml:space="preserve">Source: Funding plan section 7 (days 15-45) and section 6 (impact data gap).</t>
  </si>
  <si>
    <t xml:space="preserve">Verify past sponsor acknowledgments before reuse (never show them as current sponsors)</t>
  </si>
  <si>
    <t xml:space="preserve">Source: Funding plan section 4.</t>
  </si>
  <si>
    <t xml:space="preserve">D'Addario eligibility quiz and letter of inquiry (Academy focus; competitions are excluded)</t>
  </si>
  <si>
    <t xml:space="preserve">Source: Funding plan sections 3 and 7 (days 15-45).</t>
  </si>
  <si>
    <t xml:space="preserve">Send sponsor packs to the top 15 leads</t>
  </si>
  <si>
    <t xml:space="preserve">Source: 10th Edition plan D2 (early Nov 2026). Moved to after the deck is built. Sponsor letters stay on hold until John says go.</t>
  </si>
  <si>
    <t xml:space="preserve">Approach about 25 sponsors (Nestle, MTN Foundation, Access Bank, other banks, FMCG, media)</t>
  </si>
  <si>
    <t xml:space="preserve">Source: Funding plan section 7 (days 46-75). Letters on hold until John says go.</t>
  </si>
  <si>
    <t xml:space="preserve">Register on SAM.gov (needed for U.S. government grants)</t>
  </si>
  <si>
    <t xml:space="preserve">Source: Funding plan section 7 (days 46-75).</t>
  </si>
  <si>
    <t xml:space="preserve">Mockingbird inquiry (only if a U.S. fiscal sponsor is in place; U.S. program only)</t>
  </si>
  <si>
    <t xml:space="preserve">Source: Funding plan sections 2 and 7. Funder window closes Jan 15, 2027.</t>
  </si>
  <si>
    <t xml:space="preserve">Approach the Lagos State Ministry of Education and the Ministry of Tourism, Arts &amp; Culture for endorsement</t>
  </si>
  <si>
    <t xml:space="preserve">Source: 10th Edition plan D2 (originally early Nov 2026) and section C1.</t>
  </si>
  <si>
    <t xml:space="preserve">Follow up and hold sponsor meetings</t>
  </si>
  <si>
    <t xml:space="preserve">Source: Funding plan section 7 (days 76-90; day 90 = Jan 12, 2027).</t>
  </si>
  <si>
    <t xml:space="preserve">Watch for the U.S. Consulate Lagos FY27 call and the British Council 2027 call; line up a UK partner</t>
  </si>
  <si>
    <t xml:space="preserve">Source: Funding plan section 7 (days 76-90) and section 3.</t>
  </si>
  <si>
    <t xml:space="preserve">Prepare the NAMM Foundation application (Academy; round 1 due about Apr 1, 2027)</t>
  </si>
  <si>
    <t xml:space="preserve">Source: Funding plan sections 2 and 7. Fits the Academy, not the competition. Re-check the deadline.</t>
  </si>
  <si>
    <t xml:space="preserve">Share the proposed date with sponsors and collect responses (feeds the Mar 31 date gate)</t>
  </si>
  <si>
    <t xml:space="preserve">Recruit and vet Schools Outreach Ambassadors</t>
  </si>
  <si>
    <t xml:space="preserve">School outreach: entry guidelines and deadlines</t>
  </si>
  <si>
    <t xml:space="preserve">To be appointed (Schools Outreach Ambassador)</t>
  </si>
  <si>
    <t xml:space="preserve">Source: Volunteer Roles file. Registration closes Jun 30, 2027.</t>
  </si>
  <si>
    <t xml:space="preserve">Collect letters of support from participating schools</t>
  </si>
  <si>
    <t xml:space="preserve">Source: Funding plan section 8 (documents to prepare).</t>
  </si>
  <si>
    <t xml:space="preserve">Headline and gold sponsors secured in writing</t>
  </si>
  <si>
    <t xml:space="preserve">Source: 10th Edition plan D2 (sponsor contracts, originally Jan 2027). Tier values: John to decide.</t>
  </si>
  <si>
    <t xml:space="preserve">In-kind and media partners confirmed (instruments, sound, venue, broadcast)</t>
  </si>
  <si>
    <t xml:space="preserve">Source: Funding plan section 4 and 10th Edition plan C2.</t>
  </si>
  <si>
    <t xml:space="preserve">Plan sponsor benefits delivery: logo placement on backdrop, program and website</t>
  </si>
  <si>
    <t xml:space="preserve">All remaining sponsor and partner agreements signed</t>
  </si>
  <si>
    <t xml:space="preserve">Source: 10th Edition plan D2 (contracts).</t>
  </si>
  <si>
    <t xml:space="preserve">Sponsor guests confirmed: seats and protocol, with the Office of the Founder</t>
  </si>
  <si>
    <t xml:space="preserve">Final sponsor and partner list (names and logos) sent to Media</t>
  </si>
  <si>
    <t xml:space="preserve">Suggested. Media needs it for the program proofread.</t>
  </si>
  <si>
    <t xml:space="preserve">Partnerships sign-off: every task complete</t>
  </si>
  <si>
    <t xml:space="preserve">Contingency plan: sponsor no-show or benefit substitution</t>
  </si>
  <si>
    <t xml:space="preserve">Sponsor hospitality briefing and sponsor-day rehearsal</t>
  </si>
  <si>
    <t xml:space="preserve">Rehearsal only. Suggested.</t>
  </si>
  <si>
    <t xml:space="preserve">Sponsor thank-you and impact reports</t>
  </si>
  <si>
    <t xml:space="preserve">Sponsor renewal conversations for the 11th Edition</t>
  </si>
  <si>
    <t xml:space="preserve">Academy &amp; Education - 10th Edition action plan</t>
  </si>
  <si>
    <t xml:space="preserve">Lead: Lead to be appointed after volunteer assessment (Academy Coordinator)</t>
  </si>
  <si>
    <t xml:space="preserve">Decide the Academic Award practical tests and interactive challenges (two proposals await approval)</t>
  </si>
  <si>
    <t xml:space="preserve">Source: Practical_Tests_PROPOSAL and Interactive_Challenges_PROPOSAL (not yet approved or published).</t>
  </si>
  <si>
    <t xml:space="preserve">Finalize the Academic Award categories (53 kept by John on Oct 23, 2026) and eligibility rules</t>
  </si>
  <si>
    <t xml:space="preserve">Source: Academic_Award_KEPT file (Student 25, Teacher 11, School 11, Special Needs 6). John's rulings on names and practical tests/challenges still open.</t>
  </si>
  <si>
    <t xml:space="preserve">Write the Academic Award scoring models into the rulebook (students, teachers, schools)</t>
  </si>
  <si>
    <t xml:space="preserve">To be appointed (Academy Coordinator)</t>
  </si>
  <si>
    <t xml:space="preserve">Source: Jury System plan section 10 (approved as the starting point; reviewed after the first round). The 15% People's Vote is confirmed.</t>
  </si>
  <si>
    <t xml:space="preserve">Publish nomination form and rules; nominations open</t>
  </si>
  <si>
    <t xml:space="preserve">Source: 10th Edition plan D2 (originally end Jan close; now opens Jan and closes Jun 30).</t>
  </si>
  <si>
    <t xml:space="preserve">Nominations open: collect and check nominee records</t>
  </si>
  <si>
    <t xml:space="preserve">To be appointed (Academic Awards Assistant)</t>
  </si>
  <si>
    <t xml:space="preserve">Source: 10th Edition plan D2 ('Academic award nominations close'), moved from end Jan 2027 to Jun 30, 2027.</t>
  </si>
  <si>
    <t xml:space="preserve">Recruit subject-expert panels (three judges per Academic Award panel)</t>
  </si>
  <si>
    <t xml:space="preserve">Source: Jury System plan section 11.1.</t>
  </si>
  <si>
    <t xml:space="preserve">Recruit and vet Music Academy tutor assistants (child-facing)</t>
  </si>
  <si>
    <t xml:space="preserve">Source: Volunteer Roles file (Music Academy Tutor Assistant).</t>
  </si>
  <si>
    <t xml:space="preserve">Design nominee vote cards with Media and Technology</t>
  </si>
  <si>
    <t xml:space="preserve">Source: Jury System plan sections 12.1 and Appendix B.</t>
  </si>
  <si>
    <t xml:space="preserve">Academy showcase or learning session for schools around the event</t>
  </si>
  <si>
    <t xml:space="preserve">Suggested. Funders favor year-round Academy work (Funding plan section 1).</t>
  </si>
  <si>
    <t xml:space="preserve">Verify each shortlisted nominee's records; run practical tests if approved</t>
  </si>
  <si>
    <t xml:space="preserve">Source: Practical_Tests_PROPOSAL (only if John approves).</t>
  </si>
  <si>
    <t xml:space="preserve">Award certificates, plaques and trophies: design, spelling check and order</t>
  </si>
  <si>
    <t xml:space="preserve">Source: 10th Edition plan D6 (trophies, plaques, certificates). No costs shown here.</t>
  </si>
  <si>
    <t xml:space="preserve">Winner verification process agreed with the independent auditor</t>
  </si>
  <si>
    <t xml:space="preserve">Academy sign-off: every task complete</t>
  </si>
  <si>
    <t xml:space="preserve">Check certificate and trophy names against the final finalist lists (spelling only)</t>
  </si>
  <si>
    <t xml:space="preserve">Rehearse the Academic Awards ceremony and script</t>
  </si>
  <si>
    <t xml:space="preserve">Rehearsal only.</t>
  </si>
  <si>
    <t xml:space="preserve">Publish Academic Award winners' records and archive them</t>
  </si>
  <si>
    <t xml:space="preserve">Follow-up learning resources for participating schools and teachers</t>
  </si>
  <si>
    <t xml:space="preserve">Finance &amp; Admin - 10th Edition action plan</t>
  </si>
  <si>
    <t xml:space="preserve">Lead: Executive Director (Olubunmi Adebowale)</t>
  </si>
  <si>
    <t xml:space="preserve">Confirm bank account in the organization's name and gather 2-3 years of accounts</t>
  </si>
  <si>
    <t xml:space="preserve">Source: Funding plan section 6 (audited accounts and bank account).</t>
  </si>
  <si>
    <t xml:space="preserve">Trustee/board list and governance policies (conflict of interest, finance)</t>
  </si>
  <si>
    <t xml:space="preserve">Source: Funding plan section 6. A conflict-of-interest policy draft is on file (us_nonprofit).</t>
  </si>
  <si>
    <t xml:space="preserve">Decide: fiscal sponsor or 501(c)(3) route</t>
  </si>
  <si>
    <t xml:space="preserve">Draft the detailed event budget line by line (the plan estimate is replaced by real quotes later)</t>
  </si>
  <si>
    <t xml:space="preserve">Source: Funding plan section 7 (days 15-45) and 10th Edition plan D6. No figures are shown in this plan.</t>
  </si>
  <si>
    <t xml:space="preserve">Start the chosen fiscal-sponsor or 501(c)(3) route</t>
  </si>
  <si>
    <t xml:space="preserve">Source: Funding plan section 7; steps in us_nonprofit/501c3_timeline.</t>
  </si>
  <si>
    <t xml:space="preserve">Keep a funder calendar and re-check every deadline each month</t>
  </si>
  <si>
    <t xml:space="preserve">Source: Funding plan intro ('re-check every deadline before applying').</t>
  </si>
  <si>
    <t xml:space="preserve">Set up volunteer records: rota, attendance, ID cards, certificates</t>
  </si>
  <si>
    <t xml:space="preserve">To be appointed (Volunteer Coordination Assistant)</t>
  </si>
  <si>
    <t xml:space="preserve">Source: Volunteer Roles file (Volunteer Coordination Assistant).</t>
  </si>
  <si>
    <t xml:space="preserve">Gather at least 3 quotes for each major budget line</t>
  </si>
  <si>
    <t xml:space="preserve">Source: 10th Edition plan D6 (at least 3 quotes per major line).</t>
  </si>
  <si>
    <t xml:space="preserve">Appoint the independent tabulation auditor (accountant or audit firm)</t>
  </si>
  <si>
    <t xml:space="preserve">Source: 10th Edition plan D5 (pro bono if possible).</t>
  </si>
  <si>
    <t xml:space="preserve">Vendor contracts reviewed before signing (venue, sound, printing and others)</t>
  </si>
  <si>
    <t xml:space="preserve">John approves the final event budget</t>
  </si>
  <si>
    <t xml:space="preserve">Funding position report to John: confirmed money versus the gap</t>
  </si>
  <si>
    <t xml:space="preserve">Vendor payment schedule set so every vendor is secured early</t>
  </si>
  <si>
    <t xml:space="preserve">Suggested. Supports John's early-finish rule.</t>
  </si>
  <si>
    <t xml:space="preserve">Event-day volunteer rota built and confirmed; volunteer IDs issued</t>
  </si>
  <si>
    <t xml:space="preserve">Final funding position report to John</t>
  </si>
  <si>
    <t xml:space="preserve">Finance sign-off: every task complete</t>
  </si>
  <si>
    <t xml:space="preserve">Rehearse the reconciliation check (entries and tickets against the payment system)</t>
  </si>
  <si>
    <t xml:space="preserve">Final budget-versus-actual review and contingency authority</t>
  </si>
  <si>
    <t xml:space="preserve">Close the event accounts: reconcile all income and spending</t>
  </si>
  <si>
    <t xml:space="preserve">Impact report (with Programs and Media)</t>
  </si>
  <si>
    <t xml:space="preserve">Source: 10th Edition plan D2 (within 60 days: Jan 10, 2028).</t>
  </si>
  <si>
    <t xml:space="preserve">Audited event accounts</t>
  </si>
  <si>
    <t xml:space="preserve">Technology - 10th Edition action plan</t>
  </si>
  <si>
    <t xml:space="preserve">Lead: Lead to be appointed after volunteer assessment (Technology Lead)</t>
  </si>
  <si>
    <t xml:space="preserve">Fix the domain and email so the info@ mailbox is verified</t>
  </si>
  <si>
    <t xml:space="preserve">To be appointed (Technology Lead)</t>
  </si>
  <si>
    <t xml:space="preserve">Source: Funding plan section 7 (days 1-14). John to confirm which domain is current.</t>
  </si>
  <si>
    <t xml:space="preserve">Load this action plan into the Meeting Room (department sheets, behind-schedule flags, country chat rooms)</t>
  </si>
  <si>
    <t xml:space="preserve">Source: Meeting Room plan. Only after John approves the builder prompt. Flagging uses a rule (deadline passed or behind time used), at no cost.</t>
  </si>
  <si>
    <t xml:space="preserve">Update the website date wording to match John's decision</t>
  </si>
  <si>
    <t xml:space="preserve">Source: DECISIONS_CHECKLIST F17. Waits for the Founder decision.</t>
  </si>
  <si>
    <t xml:space="preserve">Choose the secure sign-in provider (no ChatGPT sign-in)</t>
  </si>
  <si>
    <t xml:space="preserve">Source: Jury System plan sections 16.3 and 24 ('John and developer').</t>
  </si>
  <si>
    <t xml:space="preserve">Online registration standard: one form for all countries, mandatory participant roster and photos</t>
  </si>
  <si>
    <t xml:space="preserve">Source: Online Registration Standard draft (not yet approved).</t>
  </si>
  <si>
    <t xml:space="preserve">Data protection: privacy notice, access controls for children's data, retention rule</t>
  </si>
  <si>
    <t xml:space="preserve">Source: Jury System plan section 21. Retention period: John to confirm.</t>
  </si>
  <si>
    <t xml:space="preserve">Digital scoring tool: judges score on tablets or a locked form, totals automatic</t>
  </si>
  <si>
    <t xml:space="preserve">Source: 10th Edition plan D5 and Jury System plan section 16 (development starts Jan 2027).</t>
  </si>
  <si>
    <t xml:space="preserve">People's Vote system with anti-fraud checks; choose OTP provider</t>
  </si>
  <si>
    <t xml:space="preserve">Source: Jury System plan sections 12 and 24. Vote window and limits: John to confirm.</t>
  </si>
  <si>
    <t xml:space="preserve">Admin monitor screen and rule-based flags for judging and votes</t>
  </si>
  <si>
    <t xml:space="preserve">Source: Jury System plan sections 17-18.</t>
  </si>
  <si>
    <t xml:space="preserve">Secure sign-in live for organizers and remote judges</t>
  </si>
  <si>
    <t xml:space="preserve">Source: Jury System plan section 23 (was Jul 2027; moved earlier).</t>
  </si>
  <si>
    <t xml:space="preserve">Payment link for entries and tickets (Paystack) - ON HOLD until John says go</t>
  </si>
  <si>
    <t xml:space="preserve">On hold per John's standing instruction. Dates are placeholders and shift after the go-ahead. Ticket codes (Event Operations) depend on it.</t>
  </si>
  <si>
    <t xml:space="preserve">Recruit and vet Technology volunteers: website, portal, sound/AV and live stream</t>
  </si>
  <si>
    <t xml:space="preserve">Ticket system: unique code after verified payment; admission recorded to block reuse</t>
  </si>
  <si>
    <t xml:space="preserve">Source: NISMCAA website knowledge. Depends on the payment link above.</t>
  </si>
  <si>
    <t xml:space="preserve">Confirm sound, lighting, screens and live-stream setup with the venue</t>
  </si>
  <si>
    <t xml:space="preserve">Source: 10th Edition plan D6 (stage, sound, lighting, screens; video and live stream).</t>
  </si>
  <si>
    <t xml:space="preserve">Security and peak-traffic test of the scoring tool, vote system and website</t>
  </si>
  <si>
    <t xml:space="preserve">Suggested. The mock round is in Programs.</t>
  </si>
  <si>
    <t xml:space="preserve">Offline backup: printed score sheets; power and internet backup tested</t>
  </si>
  <si>
    <t xml:space="preserve">Source: Jury System plan section 15.1 (emergency backup).</t>
  </si>
  <si>
    <t xml:space="preserve">Event-day equipment list, device setup, charging and backup hotspots</t>
  </si>
  <si>
    <t xml:space="preserve">Feature freeze: from here only fixes</t>
  </si>
  <si>
    <t xml:space="preserve">Technology sign-off: every task complete</t>
  </si>
  <si>
    <t xml:space="preserve">Code freeze: only emergency fixes; daily health checks</t>
  </si>
  <si>
    <t xml:space="preserve">Review only. No new features.</t>
  </si>
  <si>
    <t xml:space="preserve">Full technical rehearsal at the venue: sound, projection, stream, scoring on tablets</t>
  </si>
  <si>
    <t xml:space="preserve">Backup drill: power and internet failure</t>
  </si>
  <si>
    <t xml:space="preserve">Event-day technology support</t>
  </si>
  <si>
    <t xml:space="preserve">Back up and archive scoring data, flags and logs</t>
  </si>
  <si>
    <t xml:space="preserve">Source: Jury System plan section 21.</t>
  </si>
  <si>
    <t xml:space="preserve">International &amp; Diplomacy - 10th Edition action plan</t>
  </si>
  <si>
    <t xml:space="preserve">Lead: International Legal &amp; Diplomacy Director (Abisadeoluwa A. Adebowale)</t>
  </si>
  <si>
    <t xml:space="preserve">Decide how to send the letter to the British High Commission Abuja (draft is on file)</t>
  </si>
  <si>
    <t xml:space="preserve">Source: NISMCAA_Letter_British_High_Commission_Abuja on file; open item about the gov.uk form.</t>
  </si>
  <si>
    <t xml:space="preserve">Lawyer review of the global terms of use (brief is ready)</t>
  </si>
  <si>
    <t xml:space="preserve">Source: legal/lawyer_brief (not legal advice; no lawyer contacted yet). Needs John's go-ahead before anyone is contacted.</t>
  </si>
  <si>
    <t xml:space="preserve">Embassy and High Commission outreach list for guests of honor and partners</t>
  </si>
  <si>
    <t xml:space="preserve">Source: Volunteer Roles file (embassy and partner correspondence). Letters on hold until John says go.</t>
  </si>
  <si>
    <t xml:space="preserve">Decide how each country team takes part in the 10th Edition (guests, online viewing, messages)</t>
  </si>
  <si>
    <t xml:space="preserve">Recruit and vet the International Relations Assistant</t>
  </si>
  <si>
    <t xml:space="preserve">Source: Volunteer Roles file (extra checks apply).</t>
  </si>
  <si>
    <t xml:space="preserve">Line up a UK partner with the European Coordinator (Samson Orogun)</t>
  </si>
  <si>
    <t xml:space="preserve">Source: Funding plan section 7 (line up a UK partner) and Volunteer Roles file.</t>
  </si>
  <si>
    <t xml:space="preserve">Recruit and vet Country Volunteer Liaisons (each country has its own portal)</t>
  </si>
  <si>
    <t xml:space="preserve">Visa and invitation-letter process for international guests</t>
  </si>
  <si>
    <t xml:space="preserve">Suggested. Visas can take weeks, so this starts early.</t>
  </si>
  <si>
    <t xml:space="preserve">Send invitations to embassies, High Commissions and international partners</t>
  </si>
  <si>
    <t xml:space="preserve">Protocol plan for diplomats and international guests (with the Office of the Founder)</t>
  </si>
  <si>
    <t xml:space="preserve">Online viewing links for country teams and international supporters (with Technology)</t>
  </si>
  <si>
    <t xml:space="preserve">International guest attendance confirmed</t>
  </si>
  <si>
    <t xml:space="preserve">International sign-off: every task complete</t>
  </si>
  <si>
    <t xml:space="preserve">Brief country liaisons and diplomats; confirm arrivals</t>
  </si>
  <si>
    <t xml:space="preserve">Contingency plan for travel disruption (remote participation)</t>
  </si>
  <si>
    <t xml:space="preserve">Thank-you letters to embassies and international partners</t>
  </si>
  <si>
    <t xml:space="preserve">Share results and highlights with country liaisons; plan next steps per country</t>
  </si>
  <si>
    <t xml:space="preserve">READ ME - how this plan works</t>
  </si>
  <si>
    <t xml:space="preserve">John's rule: everything is done EARLY, never at the last minute.</t>
  </si>
  <si>
    <t xml:space="preserve">1. All work is planned to finish by Sep 30, 2027 (6 weeks before the event). The hard limit for every task is Oct 14, 2027 (4 weeks before). Hard limit = planned finish + 2 weeks, never later.</t>
  </si>
  <si>
    <t xml:space="preserve">2. The last 4 weeks (Oct 15 - Nov 10, 2027) hold review, rehearsal and contingency only. Shaded rows. No new tasks may be added there.</t>
  </si>
  <si>
    <t xml:space="preserve">3. 'Deadline' is the planned finish and drives the flags. 'Hard limit' is the safety buffer, not a target.</t>
  </si>
  <si>
    <t xml:space="preserve">4. Flag rule (a formula, costs nothing, no AI needed): RED if the deadline has passed and the task is not Done, or if the task is 30+ points behind. AMBER if 15-29 points behind. GREEN otherwise. GREY if there is no deadline or the task is On hold. 'Points behind' = time used minus % progress. 'Time used' = (today - start) / (deadline - start).</t>
  </si>
  <si>
    <t xml:space="preserve">5. Update only two columns: Status (Not started, In progress, Done, Blocked, On hold) and % progress. Everything else calculates.</t>
  </si>
  <si>
    <t xml:space="preserve">6. If the date changes: change ONE cell, 'All departments' C4. Every date after Mar 31, 2027 is tied to it and moves. Dates before Apr 1, 2027 are fixed calendar dates. Then re-check the 4-week rule and the Mar 31 gate.</t>
  </si>
  <si>
    <t xml:space="preserve">7. Today's flags are all GREEN or GREY because nothing has started and no deadline has passed.</t>
  </si>
  <si>
    <t xml:space="preserve">Owners</t>
  </si>
  <si>
    <t xml:space="preserve">Only known leads are named: John (Founder &amp; President), Abisade (International Legal &amp; Diplomacy Director), the Executive Director (Olubunmi Adebowale), the Project Manager / Secretariat and the Chief Judge (Dr Teemac Omotshola Iseli). Everything else says 'To be appointed' until John appoints department heads after volunteer assessment.</t>
  </si>
  <si>
    <t xml:space="preserve">Where a task says 'Suggested' in Notes, it is a standard event-planning step I added; it is not from John's files. Other tasks name their source file and section.</t>
  </si>
  <si>
    <t xml:space="preserve">Sources used</t>
  </si>
  <si>
    <t xml:space="preserve">NISMCAA_10th_Edition_Plan.docx (sections A, D1-D6); NISMCAA_Volunteer_Roles.md; funding_strategy.md (90-day plan to Jan 12, 2027); NISMCAA_Academy_Launch_Plan_INTERNAL.md; MEETING_ROOM_ACTION_PLAN_FOUND.md; Jury_System_Plan_INTERNAL (sections 10-24); Academic_Award_KEPT_2026-10-23.md; NISMCAA_online_registration_standard.md; legal/lawyer_brief.md; NISMCAA_WEBSITE_KNOWLEDGE (nismcaa_info.txt); DECISIONS_CHECKLIST.md.</t>
  </si>
  <si>
    <t xml:space="preserve">No prices, entry or ticket fees, prize amounts, scoring weights or budget figures are in this plan, because they are not final.</t>
  </si>
  <si>
    <t xml:space="preserve">Conflicts between sources (how this plan resolved them)</t>
  </si>
  <si>
    <t xml:space="preserve">Event date: the 10th Edition plan says Mar 13, 2027. John's message of Oct 26, 2026 and the website say Nov 11, 2027 (proposed). This plan uses Nov 11, 2027, shown as PROPOSED everywhere.</t>
  </si>
  <si>
    <t xml:space="preserve">Appeal window: the 10th Edition plan (D5) says 72 hours; the later Jury System plan says 7 days from delivery of each school's report. This plan follows the Jury plan. John to confirm.</t>
  </si>
  <si>
    <t xml:space="preserve">Public date wording: John's Oct 15 rule says public pages show only '2027 - Get ready!'. The Nigeria pages say 'proposed Nov 11, 2027'. The ruling is an open decision (first Founder task).</t>
  </si>
  <si>
    <t xml:space="preserve">The U.S. Academy event (Nov 21, 2026) and the U.S. program year are separate and are NOT in this plan.</t>
  </si>
  <si>
    <t xml:space="preserve">What John must supply</t>
  </si>
  <si>
    <t xml:space="preserve">1. An owner for the Alliance Française Lagos submission (the call closes Oct 31, 2026). This is the most urgent item.</t>
  </si>
  <si>
    <t xml:space="preserve">2. Names (and emails) for the 7 department heads, the Project Manager, and the Designated Safeguarding Lead.</t>
  </si>
  <si>
    <t xml:space="preserve">3. Public wording for the date, and a backup date for the finals.</t>
  </si>
  <si>
    <t xml:space="preserve">4. Confirmation of the Mar 31, 2027 sponsor-approval gate, and which venue to pursue.</t>
  </si>
  <si>
    <t xml:space="preserve">5. The open Jury plan decisions (criteria weights, penalty ranges, retention period, leaderboard show/hide, vote window, login provider).</t>
  </si>
  <si>
    <t xml:space="preserve">6. Approval or changes on the Academic Award practical tests and interactive challenges proposals.</t>
  </si>
  <si>
    <t xml:space="preserve">7. The go-ahead for Paystack (on hold), for sponsor letters (on hold) and for contacting a lawyer (not yet contacted).</t>
  </si>
  <si>
    <t xml:space="preserve">8. The original numbered Meeting Room action plan, if it differs from this one.</t>
  </si>
  <si>
    <t xml:space="preserve">9. Which domain is current for the website and the info@ mailbox.</t>
  </si>
</sst>
</file>

<file path=xl/styles.xml><?xml version="1.0" encoding="utf-8"?>
<styleSheet xmlns="http://schemas.openxmlformats.org/spreadsheetml/2006/main">
  <numFmts count="7">
    <numFmt numFmtId="164" formatCode="General"/>
    <numFmt numFmtId="165" formatCode="mmm\ d&quot;, &quot;yyyy"/>
    <numFmt numFmtId="166" formatCode="0&quot; days&quot;"/>
    <numFmt numFmtId="167" formatCode="0%"/>
    <numFmt numFmtId="168" formatCode="0"/>
    <numFmt numFmtId="169" formatCode="0.0"/>
    <numFmt numFmtId="170" formatCode="mmm\ yy"/>
  </numFmts>
  <fonts count="18">
    <font>
      <sz val="11"/>
      <color theme="1"/>
      <name val="Calibri"/>
      <family val="2"/>
      <charset val="1"/>
    </font>
    <font>
      <sz val="10"/>
      <name val="Arial"/>
      <family val="0"/>
    </font>
    <font>
      <sz val="10"/>
      <name val="Arial"/>
      <family val="0"/>
    </font>
    <font>
      <sz val="10"/>
      <name val="Arial"/>
      <family val="0"/>
    </font>
    <font>
      <b val="true"/>
      <sz val="18"/>
      <color rgb="FFFFFFFF"/>
      <name val="Calibri"/>
      <family val="0"/>
      <charset val="1"/>
    </font>
    <font>
      <b val="true"/>
      <sz val="11"/>
      <color rgb="FF7F3F00"/>
      <name val="Calibri"/>
      <family val="0"/>
      <charset val="1"/>
    </font>
    <font>
      <b val="true"/>
      <sz val="10"/>
      <name val="Calibri"/>
      <family val="0"/>
      <charset val="1"/>
    </font>
    <font>
      <b val="true"/>
      <sz val="11"/>
      <name val="Calibri"/>
      <family val="0"/>
      <charset val="1"/>
    </font>
    <font>
      <i val="true"/>
      <sz val="9"/>
      <color rgb="FF595959"/>
      <name val="Calibri"/>
      <family val="0"/>
      <charset val="1"/>
    </font>
    <font>
      <b val="true"/>
      <sz val="14"/>
      <name val="Calibri"/>
      <family val="0"/>
      <charset val="1"/>
    </font>
    <font>
      <b val="true"/>
      <sz val="12"/>
      <color rgb="FF1F3A5F"/>
      <name val="Calibri"/>
      <family val="0"/>
      <charset val="1"/>
    </font>
    <font>
      <b val="true"/>
      <sz val="10"/>
      <color rgb="FFFFFFFF"/>
      <name val="Calibri"/>
      <family val="0"/>
      <charset val="1"/>
    </font>
    <font>
      <sz val="10"/>
      <name val="Calibri"/>
      <family val="0"/>
      <charset val="1"/>
    </font>
    <font>
      <b val="true"/>
      <u val="single"/>
      <sz val="10"/>
      <color rgb="FF0563C1"/>
      <name val="Calibri"/>
      <family val="0"/>
      <charset val="1"/>
    </font>
    <font>
      <b val="true"/>
      <sz val="16"/>
      <color rgb="FFFFFFFF"/>
      <name val="Calibri"/>
      <family val="0"/>
      <charset val="1"/>
    </font>
    <font>
      <sz val="9"/>
      <name val="Calibri"/>
      <family val="0"/>
      <charset val="1"/>
    </font>
    <font>
      <b val="true"/>
      <sz val="9"/>
      <name val="Calibri"/>
      <family val="0"/>
      <charset val="1"/>
    </font>
    <font>
      <b val="true"/>
      <sz val="10"/>
      <color rgb="FF7F3F00"/>
      <name val="Calibri"/>
      <family val="0"/>
      <charset val="1"/>
    </font>
  </fonts>
  <fills count="10">
    <fill>
      <patternFill patternType="none"/>
    </fill>
    <fill>
      <patternFill patternType="gray125"/>
    </fill>
    <fill>
      <patternFill patternType="solid">
        <fgColor rgb="FF1F3A5F"/>
        <bgColor rgb="FF404040"/>
      </patternFill>
    </fill>
    <fill>
      <patternFill patternType="solid">
        <fgColor rgb="FFFFE699"/>
        <bgColor rgb="FFFFF2CC"/>
      </patternFill>
    </fill>
    <fill>
      <patternFill patternType="solid">
        <fgColor rgb="FFFFF2CC"/>
        <bgColor rgb="FFFCE4D6"/>
      </patternFill>
    </fill>
    <fill>
      <patternFill patternType="solid">
        <fgColor rgb="FFEAF0F7"/>
        <bgColor rgb="FFFFFFFF"/>
      </patternFill>
    </fill>
    <fill>
      <patternFill patternType="solid">
        <fgColor rgb="FFC6E0B4"/>
        <bgColor rgb="FFD9D9D9"/>
      </patternFill>
    </fill>
    <fill>
      <patternFill patternType="solid">
        <fgColor rgb="FFFCE4D6"/>
        <bgColor rgb="FFFFF2CC"/>
      </patternFill>
    </fill>
    <fill>
      <patternFill patternType="solid">
        <fgColor rgb="FF44546A"/>
        <bgColor rgb="FF595959"/>
      </patternFill>
    </fill>
    <fill>
      <patternFill patternType="solid">
        <fgColor rgb="FF7F3F00"/>
        <bgColor rgb="FF843C0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3" borderId="0" xfId="0" applyFont="true" applyBorder="true" applyAlignment="true" applyProtection="false">
      <alignment horizontal="general" vertical="center" textRotation="0" wrapText="true" indent="1"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7" fontId="12"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12" fillId="0"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left" vertical="center" textRotation="0" wrapText="false" indent="0" shrinkToFit="false"/>
      <protection locked="true" hidden="false"/>
    </xf>
    <xf numFmtId="167" fontId="6" fillId="5" borderId="1" xfId="0" applyFont="true" applyBorder="true" applyAlignment="true" applyProtection="false">
      <alignment horizontal="center" vertical="center" textRotation="0" wrapText="false" indent="0" shrinkToFit="false"/>
      <protection locked="true" hidden="false"/>
    </xf>
    <xf numFmtId="165" fontId="6" fillId="5"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8" fontId="12" fillId="0" borderId="1" xfId="0" applyFont="true" applyBorder="true" applyAlignment="true" applyProtection="false">
      <alignment horizontal="center" vertical="center" textRotation="0" wrapText="true" indent="0" shrinkToFit="false"/>
      <protection locked="true" hidden="false"/>
    </xf>
    <xf numFmtId="169" fontId="12" fillId="0"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5" fontId="12" fillId="6" borderId="1" xfId="0" applyFont="true" applyBorder="true" applyAlignment="true" applyProtection="false">
      <alignment horizontal="center" vertical="center" textRotation="0" wrapText="true" indent="0" shrinkToFit="false"/>
      <protection locked="true" hidden="false"/>
    </xf>
    <xf numFmtId="168" fontId="12" fillId="6" borderId="1" xfId="0" applyFont="true" applyBorder="true" applyAlignment="true" applyProtection="false">
      <alignment horizontal="center" vertical="center" textRotation="0" wrapText="true" indent="0" shrinkToFit="false"/>
      <protection locked="true" hidden="false"/>
    </xf>
    <xf numFmtId="169" fontId="12" fillId="6"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5" fontId="12" fillId="7" borderId="1" xfId="0" applyFont="true" applyBorder="true" applyAlignment="true" applyProtection="false">
      <alignment horizontal="center" vertical="center" textRotation="0" wrapText="true" indent="0" shrinkToFit="false"/>
      <protection locked="true" hidden="false"/>
    </xf>
    <xf numFmtId="168" fontId="12" fillId="7" borderId="1" xfId="0" applyFont="true" applyBorder="true" applyAlignment="true" applyProtection="false">
      <alignment horizontal="center" vertical="center" textRotation="0" wrapText="true" indent="0" shrinkToFit="false"/>
      <protection locked="true" hidden="false"/>
    </xf>
    <xf numFmtId="169" fontId="12" fillId="7"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5" fontId="12" fillId="3" borderId="1" xfId="0" applyFont="true" applyBorder="true" applyAlignment="true" applyProtection="false">
      <alignment horizontal="center" vertical="center" textRotation="0" wrapText="true" indent="0" shrinkToFit="false"/>
      <protection locked="true" hidden="false"/>
    </xf>
    <xf numFmtId="168" fontId="12" fillId="3" borderId="1" xfId="0" applyFont="true" applyBorder="true" applyAlignment="true" applyProtection="false">
      <alignment horizontal="center" vertical="center" textRotation="0" wrapText="true" indent="0" shrinkToFit="false"/>
      <protection locked="true" hidden="false"/>
    </xf>
    <xf numFmtId="169" fontId="12"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general" vertical="center" textRotation="0" wrapText="false" indent="1" shrinkToFit="false"/>
      <protection locked="true" hidden="false"/>
    </xf>
    <xf numFmtId="164" fontId="5" fillId="3" borderId="0" xfId="0" applyFont="true" applyBorder="true" applyAlignment="true" applyProtection="false">
      <alignment horizontal="general" vertical="center" textRotation="0" wrapText="false" indent="1" shrinkToFit="false"/>
      <protection locked="true" hidden="false"/>
    </xf>
    <xf numFmtId="170" fontId="11" fillId="2"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5"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7" fillId="3" borderId="0" xfId="0" applyFont="true" applyBorder="true" applyAlignment="true" applyProtection="false">
      <alignment horizontal="general" vertical="center" textRotation="0" wrapText="true" indent="1"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5" fontId="12" fillId="0" borderId="1" xfId="0" applyFont="true" applyBorder="true" applyAlignment="true" applyProtection="false">
      <alignment horizontal="center" vertical="top" textRotation="0" wrapText="true" indent="0" shrinkToFit="false"/>
      <protection locked="true" hidden="false"/>
    </xf>
    <xf numFmtId="164" fontId="6" fillId="5" borderId="0" xfId="0" applyFont="true" applyBorder="true" applyAlignment="true" applyProtection="false">
      <alignment horizontal="left" vertical="center" textRotation="0" wrapText="true" indent="0" shrinkToFit="false"/>
      <protection locked="true" hidden="false"/>
    </xf>
    <xf numFmtId="164" fontId="6" fillId="5" borderId="0" xfId="0" applyFont="true" applyBorder="false" applyAlignment="true" applyProtection="false">
      <alignment horizontal="center" vertical="center" textRotation="0" wrapText="true" indent="0" shrinkToFit="false"/>
      <protection locked="true" hidden="false"/>
    </xf>
    <xf numFmtId="164" fontId="6" fillId="5"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true" applyAlignment="true" applyProtection="false">
      <alignment horizontal="general" vertical="center" textRotation="0" wrapText="true" indent="1" shrinkToFit="false"/>
      <protection locked="true" hidden="false"/>
    </xf>
    <xf numFmtId="164" fontId="11" fillId="8" borderId="0" xfId="0" applyFont="true" applyBorder="true" applyAlignment="true" applyProtection="false">
      <alignment horizontal="general" vertical="center" textRotation="0" wrapText="false" indent="1" shrinkToFit="false"/>
      <protection locked="true" hidden="false"/>
    </xf>
    <xf numFmtId="167" fontId="12"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11" fillId="9" borderId="0" xfId="0" applyFont="true" applyBorder="true" applyAlignment="true" applyProtection="false">
      <alignment horizontal="general" vertical="center" textRotation="0" wrapText="false" indent="1"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64" fontId="12" fillId="7" borderId="1" xfId="0" applyFont="true" applyBorder="true" applyAlignment="true" applyProtection="false">
      <alignment horizontal="left" vertical="top" textRotation="0" wrapText="true" indent="0" shrinkToFit="false"/>
      <protection locked="true" hidden="false"/>
    </xf>
    <xf numFmtId="165" fontId="12" fillId="7" borderId="1" xfId="0" applyFont="true" applyBorder="true" applyAlignment="true" applyProtection="false">
      <alignment horizontal="center" vertical="top" textRotation="0" wrapText="true" indent="0" shrinkToFit="false"/>
      <protection locked="true" hidden="false"/>
    </xf>
    <xf numFmtId="167" fontId="12" fillId="7" borderId="1" xfId="0" applyFont="true" applyBorder="true" applyAlignment="true" applyProtection="false">
      <alignment horizontal="center"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true" indent="0" shrinkToFit="false"/>
      <protection locked="true" hidden="false"/>
    </xf>
    <xf numFmtId="164" fontId="14"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ont>
        <b val="1"/>
        <color rgb="FFFFFFFF"/>
      </font>
      <fill>
        <patternFill>
          <bgColor rgb="FFC00000"/>
        </patternFill>
      </fill>
    </dxf>
    <dxf>
      <fill>
        <patternFill>
          <bgColor rgb="FFF4B183"/>
        </patternFill>
      </fill>
    </dxf>
    <dxf>
      <fill>
        <patternFill>
          <bgColor rgb="FF63BE7B"/>
        </patternFill>
      </fill>
    </dxf>
    <dxf>
      <fill>
        <patternFill>
          <bgColor rgb="FFC6E0B4"/>
        </patternFill>
      </fill>
    </dxf>
    <dxf>
      <fill>
        <patternFill>
          <bgColor rgb="FFFF9999"/>
        </patternFill>
      </fill>
    </dxf>
    <dxf>
      <fill>
        <patternFill>
          <bgColor rgb="FFF8CBAD"/>
        </patternFill>
      </fill>
    </dxf>
    <dxf>
      <fill>
        <patternFill>
          <bgColor rgb="FFC8A24A"/>
        </patternFill>
      </fill>
    </dxf>
    <dxf>
      <fill>
        <patternFill>
          <bgColor rgb="FFA9D08E"/>
        </patternFill>
      </fill>
    </dxf>
    <dxf>
      <font>
        <b val="1"/>
        <color rgb="FF000000"/>
      </font>
      <fill>
        <patternFill>
          <bgColor rgb="FFF4B183"/>
        </patternFill>
      </fill>
    </dxf>
    <dxf>
      <font>
        <b val="1"/>
        <color rgb="FF000000"/>
      </font>
      <fill>
        <patternFill>
          <bgColor rgb="FF63BE7B"/>
        </patternFill>
      </fill>
    </dxf>
    <dxf>
      <font>
        <b val="1"/>
        <color rgb="FF404040"/>
      </font>
      <fill>
        <patternFill>
          <bgColor rgb="FFBFBFBF"/>
        </patternFill>
      </fill>
    </dxf>
    <dxf>
      <fill>
        <patternFill>
          <bgColor rgb="FFBDD7EE"/>
        </patternFill>
      </fill>
    </dxf>
    <dxf>
      <fill>
        <patternFill>
          <bgColor rgb="FFD9D9D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A"/>
      <rgbColor rgb="FFBFBFBF"/>
      <rgbColor rgb="FF808080"/>
      <rgbColor rgb="FF9999FF"/>
      <rgbColor rgb="FF833C8B"/>
      <rgbColor rgb="FFFFF2CC"/>
      <rgbColor rgb="FFEAF0F7"/>
      <rgbColor rgb="FF660066"/>
      <rgbColor rgb="FFF4B183"/>
      <rgbColor rgb="FF0563C1"/>
      <rgbColor rgb="FFBDD7EE"/>
      <rgbColor rgb="FF000080"/>
      <rgbColor rgb="FFFF00FF"/>
      <rgbColor rgb="FFFFFF00"/>
      <rgbColor rgb="FF00FFFF"/>
      <rgbColor rgb="FF800080"/>
      <rgbColor rgb="FF800000"/>
      <rgbColor rgb="FF008080"/>
      <rgbColor rgb="FF0000FF"/>
      <rgbColor rgb="FF00CCFF"/>
      <rgbColor rgb="FFD9D9D9"/>
      <rgbColor rgb="FFC6E0B4"/>
      <rgbColor rgb="FFFFE699"/>
      <rgbColor rgb="FFA9D08E"/>
      <rgbColor rgb="FFFF9999"/>
      <rgbColor rgb="FFFCE4D6"/>
      <rgbColor rgb="FFF8CBAD"/>
      <rgbColor rgb="FF2E75B6"/>
      <rgbColor rgb="FF63BE7B"/>
      <rgbColor rgb="FF99CC00"/>
      <rgbColor rgb="FFFFCC00"/>
      <rgbColor rgb="FFBF8F00"/>
      <rgbColor rgb="FFC55A11"/>
      <rgbColor rgb="FF595959"/>
      <rgbColor rgb="FFC8A24A"/>
      <rgbColor rgb="FF1F3A5F"/>
      <rgbColor rgb="FF339966"/>
      <rgbColor rgb="FF003300"/>
      <rgbColor rgb="FF7F3F00"/>
      <rgbColor rgb="FF843C0C"/>
      <rgbColor rgb="FF7030A0"/>
      <rgbColor rgb="FF44546A"/>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24A"/>
    <pageSetUpPr fitToPage="true"/>
  </sheetPr>
  <dimension ref="A1:N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24"/>
    <col collapsed="false" customWidth="true" hidden="false" outlineLevel="0" max="4" min="4" style="0" width="13"/>
    <col collapsed="false" customWidth="true" hidden="false" outlineLevel="0" max="5" min="5" style="0" width="9"/>
    <col collapsed="false" customWidth="true" hidden="false" outlineLevel="0" max="6" min="6" style="0" width="13"/>
    <col collapsed="false" customWidth="true" hidden="false" outlineLevel="0" max="10" min="7" style="0" width="9"/>
    <col collapsed="false" customWidth="true" hidden="false" outlineLevel="0" max="11" min="11" style="0" width="12"/>
    <col collapsed="false" customWidth="true" hidden="false" outlineLevel="0" max="12" min="12" style="0" width="17"/>
    <col collapsed="false" customWidth="true" hidden="false" outlineLevel="0" max="13" min="13" style="0" width="14"/>
    <col collapsed="false" customWidth="true" hidden="false" outlineLevel="0" max="14" min="14" style="0" width="22"/>
  </cols>
  <sheetData>
    <row r="1" customFormat="false" ht="33.75" hidden="false" customHeight="true" outlineLevel="0" collapsed="false">
      <c r="A1" s="1" t="s">
        <v>0</v>
      </c>
      <c r="B1" s="1"/>
      <c r="C1" s="1"/>
      <c r="D1" s="1"/>
      <c r="E1" s="1"/>
      <c r="F1" s="1"/>
      <c r="G1" s="1"/>
      <c r="H1" s="1"/>
      <c r="I1" s="1"/>
      <c r="J1" s="1"/>
      <c r="K1" s="1"/>
      <c r="L1" s="1"/>
      <c r="M1" s="1"/>
      <c r="N1" s="1"/>
    </row>
    <row r="2" customFormat="false" ht="31.5" hidden="false" customHeight="true" outlineLevel="0" collapsed="false">
      <c r="A2" s="2" t="s">
        <v>1</v>
      </c>
      <c r="B2" s="2"/>
      <c r="C2" s="2"/>
      <c r="D2" s="2"/>
      <c r="E2" s="2"/>
      <c r="F2" s="2"/>
      <c r="G2" s="2"/>
      <c r="H2" s="2"/>
      <c r="I2" s="2"/>
      <c r="J2" s="2"/>
      <c r="K2" s="2"/>
      <c r="L2" s="2"/>
      <c r="M2" s="2"/>
      <c r="N2" s="2"/>
    </row>
    <row r="4" customFormat="false" ht="30" hidden="false" customHeight="true" outlineLevel="0" collapsed="false">
      <c r="B4" s="3" t="s">
        <v>2</v>
      </c>
      <c r="C4" s="4" t="n">
        <v>46702</v>
      </c>
      <c r="D4" s="5" t="s">
        <v>3</v>
      </c>
      <c r="E4" s="5"/>
      <c r="F4" s="5"/>
      <c r="G4" s="5"/>
      <c r="H4" s="6" t="str">
        <f aca="false">IF(G23+H23=0,"BEHIND SCHEDULE: NONE"&amp;CHAR(10)&amp;"Nothing has started yet, so nothing is late. "&amp;D23&amp;" tasks, all Not started.","BEHIND SCHEDULE: "&amp;(G23+H23)&amp;" TASK(S)"&amp;CHAR(10)&amp;G23&amp;" red, "&amp;H23&amp;" amber. See the table below and each department sheet.")</f>
        <v>BEHIND SCHEDULE: NONE
Nothing has started yet, so nothing is late. 222 tasks, all Not started.</v>
      </c>
      <c r="I4" s="6"/>
      <c r="J4" s="6"/>
      <c r="K4" s="6"/>
      <c r="L4" s="6"/>
      <c r="M4" s="6"/>
      <c r="N4" s="6"/>
    </row>
    <row r="5" customFormat="false" ht="30" hidden="false" customHeight="true" outlineLevel="0" collapsed="false">
      <c r="B5" s="3" t="s">
        <v>4</v>
      </c>
      <c r="C5" s="7" t="n">
        <f aca="true">TODAY()</f>
        <v>46321</v>
      </c>
      <c r="D5" s="5"/>
      <c r="E5" s="5"/>
      <c r="F5" s="5"/>
      <c r="G5" s="5"/>
      <c r="H5" s="6"/>
      <c r="I5" s="6"/>
      <c r="J5" s="6"/>
      <c r="K5" s="6"/>
      <c r="L5" s="6"/>
      <c r="M5" s="6"/>
      <c r="N5" s="6"/>
    </row>
    <row r="6" customFormat="false" ht="30" hidden="false" customHeight="true" outlineLevel="0" collapsed="false">
      <c r="B6" s="3" t="s">
        <v>5</v>
      </c>
      <c r="C6" s="8" t="n">
        <f aca="false">C4-C5</f>
        <v>381</v>
      </c>
      <c r="D6" s="5"/>
      <c r="E6" s="5"/>
      <c r="F6" s="5"/>
      <c r="G6" s="5"/>
      <c r="H6" s="6"/>
      <c r="I6" s="6"/>
      <c r="J6" s="6"/>
      <c r="K6" s="6"/>
      <c r="L6" s="6"/>
      <c r="M6" s="6"/>
      <c r="N6" s="6"/>
    </row>
    <row r="7" customFormat="false" ht="30" hidden="false" customHeight="true" outlineLevel="0" collapsed="false">
      <c r="B7" s="3" t="s">
        <v>6</v>
      </c>
      <c r="C7" s="7" t="n">
        <f aca="false">C4-42</f>
        <v>46660</v>
      </c>
      <c r="D7" s="5" t="s">
        <v>7</v>
      </c>
      <c r="E7" s="5"/>
      <c r="F7" s="5"/>
      <c r="G7" s="5"/>
      <c r="H7" s="6"/>
      <c r="I7" s="6"/>
      <c r="J7" s="6"/>
      <c r="K7" s="6"/>
      <c r="L7" s="6"/>
      <c r="M7" s="6"/>
      <c r="N7" s="6"/>
    </row>
    <row r="8" customFormat="false" ht="30" hidden="false" customHeight="true" outlineLevel="0" collapsed="false">
      <c r="B8" s="3" t="s">
        <v>8</v>
      </c>
      <c r="C8" s="7" t="n">
        <f aca="false">C4-28</f>
        <v>46674</v>
      </c>
      <c r="D8" s="5" t="s">
        <v>9</v>
      </c>
      <c r="E8" s="5"/>
      <c r="F8" s="5"/>
      <c r="G8" s="5"/>
      <c r="H8" s="6"/>
      <c r="I8" s="6"/>
      <c r="J8" s="6"/>
      <c r="K8" s="6"/>
      <c r="L8" s="6"/>
      <c r="M8" s="6"/>
      <c r="N8" s="6"/>
    </row>
    <row r="9" customFormat="false" ht="30" hidden="false" customHeight="true" outlineLevel="0" collapsed="false">
      <c r="B9" s="3" t="s">
        <v>10</v>
      </c>
      <c r="C9" s="7" t="n">
        <f aca="false">C4-27</f>
        <v>46675</v>
      </c>
      <c r="D9" s="5" t="s">
        <v>11</v>
      </c>
      <c r="E9" s="5"/>
      <c r="F9" s="5"/>
      <c r="G9" s="5"/>
      <c r="H9" s="6"/>
      <c r="I9" s="6"/>
      <c r="J9" s="6"/>
      <c r="K9" s="6"/>
      <c r="L9" s="6"/>
      <c r="M9" s="6"/>
      <c r="N9" s="6"/>
    </row>
    <row r="11" customFormat="false" ht="15" hidden="false" customHeight="false" outlineLevel="0" collapsed="false">
      <c r="A11" s="9" t="s">
        <v>12</v>
      </c>
    </row>
    <row r="12" customFormat="false" ht="45" hidden="false" customHeight="true" outlineLevel="0" collapsed="false">
      <c r="A12" s="10" t="s">
        <v>13</v>
      </c>
      <c r="B12" s="10" t="s">
        <v>14</v>
      </c>
      <c r="C12" s="10" t="s">
        <v>15</v>
      </c>
      <c r="D12" s="10" t="s">
        <v>16</v>
      </c>
      <c r="E12" s="10" t="s">
        <v>17</v>
      </c>
      <c r="F12" s="10" t="s">
        <v>18</v>
      </c>
      <c r="G12" s="10" t="s">
        <v>19</v>
      </c>
      <c r="H12" s="10" t="s">
        <v>20</v>
      </c>
      <c r="I12" s="10" t="s">
        <v>21</v>
      </c>
      <c r="J12" s="10" t="s">
        <v>22</v>
      </c>
      <c r="K12" s="10" t="s">
        <v>23</v>
      </c>
      <c r="L12" s="10" t="s">
        <v>24</v>
      </c>
      <c r="M12" s="10" t="s">
        <v>25</v>
      </c>
      <c r="N12" s="10" t="s">
        <v>26</v>
      </c>
    </row>
    <row r="13" customFormat="false" ht="31.5" hidden="false" customHeight="true" outlineLevel="0" collapsed="false">
      <c r="A13" s="11" t="n">
        <v>1</v>
      </c>
      <c r="B13" s="12" t="s">
        <v>27</v>
      </c>
      <c r="C13" s="13" t="s">
        <v>28</v>
      </c>
      <c r="D13" s="11" t="n">
        <f aca="false">COUNT('Office of the Founder'!A6:A26)</f>
        <v>16</v>
      </c>
      <c r="E13" s="11" t="n">
        <f aca="false">COUNTIF('Office of the Founder'!G6:G26,"Done")</f>
        <v>0</v>
      </c>
      <c r="F13" s="14" t="n">
        <f aca="false">IFERROR(AVERAGE('Office of the Founder'!H6:H26),0)</f>
        <v>0</v>
      </c>
      <c r="G13" s="11" t="n">
        <f aca="false">COUNTIF('Office of the Founder'!L6:L26,"RED")</f>
        <v>0</v>
      </c>
      <c r="H13" s="11" t="n">
        <f aca="false">COUNTIF('Office of the Founder'!L6:L26,"AMBER")</f>
        <v>0</v>
      </c>
      <c r="I13" s="11" t="n">
        <f aca="false">COUNTIF('Office of the Founder'!L6:L26,"GREEN")</f>
        <v>16</v>
      </c>
      <c r="J13" s="11" t="n">
        <f aca="false">COUNTIF('Office of the Founder'!L6:L26,"GREY")</f>
        <v>0</v>
      </c>
      <c r="K13" s="15" t="str">
        <f aca="false">IF(G13&gt;0,"BEHIND",IF(H13&gt;0,"AT RISK","On track"))</f>
        <v>On track</v>
      </c>
      <c r="L13" s="16" t="n">
        <f aca="false">_xlfn.MAXIFS('Office of the Founder'!E6:E26,'Office of the Founder'!E6:E26,"&lt;="&amp;(EventDate-28))</f>
        <v>46660</v>
      </c>
      <c r="M13" s="16" t="n">
        <f aca="true">IFERROR(_xlfn.MINIFS('Office of the Founder'!E6:E26,'Office of the Founder'!G6:G26,"&lt;&gt;Done",'Office of the Founder'!E6:E26,"&gt;="&amp;TODAY()),"-")</f>
        <v>46332</v>
      </c>
      <c r="N13" s="13" t="str">
        <f aca="false" t="array" ref="N13:N13">IF(G13+H13=0,"-",_xlfn.TEXTJOIN(", ",TRUE(),IF(('Office of the Founder'!L6:L26="RED")+('Office of the Founder'!L6:L26="AMBER"),"#"&amp;'Office of the Founder'!A6:A26,"")))</f>
        <v>-</v>
      </c>
    </row>
    <row r="14" customFormat="false" ht="31.5" hidden="false" customHeight="true" outlineLevel="0" collapsed="false">
      <c r="A14" s="11" t="n">
        <v>2</v>
      </c>
      <c r="B14" s="12" t="s">
        <v>29</v>
      </c>
      <c r="C14" s="13" t="s">
        <v>30</v>
      </c>
      <c r="D14" s="11" t="n">
        <f aca="false">COUNT('Programs &amp; Competition'!A6:A37)</f>
        <v>27</v>
      </c>
      <c r="E14" s="11" t="n">
        <f aca="false">COUNTIF('Programs &amp; Competition'!G6:G37,"Done")</f>
        <v>0</v>
      </c>
      <c r="F14" s="14" t="n">
        <f aca="false">IFERROR(AVERAGE('Programs &amp; Competition'!H6:H37),0)</f>
        <v>0</v>
      </c>
      <c r="G14" s="11" t="n">
        <f aca="false">COUNTIF('Programs &amp; Competition'!L6:L37,"RED")</f>
        <v>0</v>
      </c>
      <c r="H14" s="11" t="n">
        <f aca="false">COUNTIF('Programs &amp; Competition'!L6:L37,"AMBER")</f>
        <v>0</v>
      </c>
      <c r="I14" s="11" t="n">
        <f aca="false">COUNTIF('Programs &amp; Competition'!L6:L37,"GREEN")</f>
        <v>27</v>
      </c>
      <c r="J14" s="11" t="n">
        <f aca="false">COUNTIF('Programs &amp; Competition'!L6:L37,"GREY")</f>
        <v>0</v>
      </c>
      <c r="K14" s="15" t="str">
        <f aca="false">IF(G14&gt;0,"BEHIND",IF(H14&gt;0,"AT RISK","On track"))</f>
        <v>On track</v>
      </c>
      <c r="L14" s="16" t="n">
        <f aca="false">_xlfn.MAXIFS('Programs &amp; Competition'!E6:E37,'Programs &amp; Competition'!E6:E37,"&lt;="&amp;(EventDate-28))</f>
        <v>46660</v>
      </c>
      <c r="M14" s="16" t="n">
        <f aca="true">IFERROR(_xlfn.MINIFS('Programs &amp; Competition'!E6:E37,'Programs &amp; Competition'!G6:G37,"&lt;&gt;Done",'Programs &amp; Competition'!E6:E37,"&gt;="&amp;TODAY()),"-")</f>
        <v>46360</v>
      </c>
      <c r="N14" s="13" t="str">
        <f aca="false" t="array" ref="N14:N14">IF(G14+H14=0,"-",_xlfn.TEXTJOIN(", ",TRUE(),IF(('Programs &amp; Competition'!L6:L37="RED")+('Programs &amp; Competition'!L6:L37="AMBER"),"#"&amp;'Programs &amp; Competition'!A6:A37,"")))</f>
        <v>-</v>
      </c>
    </row>
    <row r="15" customFormat="false" ht="31.5" hidden="false" customHeight="true" outlineLevel="0" collapsed="false">
      <c r="A15" s="11" t="n">
        <v>3</v>
      </c>
      <c r="B15" s="12" t="s">
        <v>31</v>
      </c>
      <c r="C15" s="13" t="s">
        <v>32</v>
      </c>
      <c r="D15" s="11" t="n">
        <f aca="false">COUNT('Child Welfare &amp; Safeguarding'!A6:A30)</f>
        <v>20</v>
      </c>
      <c r="E15" s="11" t="n">
        <f aca="false">COUNTIF('Child Welfare &amp; Safeguarding'!G6:G30,"Done")</f>
        <v>0</v>
      </c>
      <c r="F15" s="14" t="n">
        <f aca="false">IFERROR(AVERAGE('Child Welfare &amp; Safeguarding'!H6:H30),0)</f>
        <v>0</v>
      </c>
      <c r="G15" s="11" t="n">
        <f aca="false">COUNTIF('Child Welfare &amp; Safeguarding'!L6:L30,"RED")</f>
        <v>0</v>
      </c>
      <c r="H15" s="11" t="n">
        <f aca="false">COUNTIF('Child Welfare &amp; Safeguarding'!L6:L30,"AMBER")</f>
        <v>0</v>
      </c>
      <c r="I15" s="11" t="n">
        <f aca="false">COUNTIF('Child Welfare &amp; Safeguarding'!L6:L30,"GREEN")</f>
        <v>20</v>
      </c>
      <c r="J15" s="11" t="n">
        <f aca="false">COUNTIF('Child Welfare &amp; Safeguarding'!L6:L30,"GREY")</f>
        <v>0</v>
      </c>
      <c r="K15" s="15" t="str">
        <f aca="false">IF(G15&gt;0,"BEHIND",IF(H15&gt;0,"AT RISK","On track"))</f>
        <v>On track</v>
      </c>
      <c r="L15" s="16" t="n">
        <f aca="false">_xlfn.MAXIFS('Child Welfare &amp; Safeguarding'!E6:E30,'Child Welfare &amp; Safeguarding'!E6:E30,"&lt;="&amp;(EventDate-28))</f>
        <v>46660</v>
      </c>
      <c r="M15" s="16" t="n">
        <f aca="true">IFERROR(_xlfn.MINIFS('Child Welfare &amp; Safeguarding'!E6:E30,'Child Welfare &amp; Safeguarding'!G6:G30,"&lt;&gt;Done",'Child Welfare &amp; Safeguarding'!E6:E30,"&gt;="&amp;TODAY()),"-")</f>
        <v>46346</v>
      </c>
      <c r="N15" s="13" t="str">
        <f aca="false" t="array" ref="N15:N15">IF(G15+H15=0,"-",_xlfn.TEXTJOIN(", ",TRUE(),IF(('Child Welfare &amp; Safeguarding'!L6:L30="RED")+('Child Welfare &amp; Safeguarding'!L6:L30="AMBER"),"#"&amp;'Child Welfare &amp; Safeguarding'!A6:A30,"")))</f>
        <v>-</v>
      </c>
    </row>
    <row r="16" customFormat="false" ht="31.5" hidden="false" customHeight="true" outlineLevel="0" collapsed="false">
      <c r="A16" s="11" t="n">
        <v>4</v>
      </c>
      <c r="B16" s="12" t="s">
        <v>33</v>
      </c>
      <c r="C16" s="13" t="s">
        <v>32</v>
      </c>
      <c r="D16" s="11" t="n">
        <f aca="false">COUNT('Event Operations'!A6:A35)</f>
        <v>25</v>
      </c>
      <c r="E16" s="11" t="n">
        <f aca="false">COUNTIF('Event Operations'!G6:G35,"Done")</f>
        <v>0</v>
      </c>
      <c r="F16" s="14" t="n">
        <f aca="false">IFERROR(AVERAGE('Event Operations'!H6:H35),0)</f>
        <v>0</v>
      </c>
      <c r="G16" s="11" t="n">
        <f aca="false">COUNTIF('Event Operations'!L6:L35,"RED")</f>
        <v>0</v>
      </c>
      <c r="H16" s="11" t="n">
        <f aca="false">COUNTIF('Event Operations'!L6:L35,"AMBER")</f>
        <v>0</v>
      </c>
      <c r="I16" s="11" t="n">
        <f aca="false">COUNTIF('Event Operations'!L6:L35,"GREEN")</f>
        <v>25</v>
      </c>
      <c r="J16" s="11" t="n">
        <f aca="false">COUNTIF('Event Operations'!L6:L35,"GREY")</f>
        <v>0</v>
      </c>
      <c r="K16" s="15" t="str">
        <f aca="false">IF(G16&gt;0,"BEHIND",IF(H16&gt;0,"AT RISK","On track"))</f>
        <v>On track</v>
      </c>
      <c r="L16" s="16" t="n">
        <f aca="false">_xlfn.MAXIFS('Event Operations'!E6:E35,'Event Operations'!E6:E35,"&lt;="&amp;(EventDate-28))</f>
        <v>46660</v>
      </c>
      <c r="M16" s="16" t="n">
        <f aca="true">IFERROR(_xlfn.MINIFS('Event Operations'!E6:E35,'Event Operations'!G6:G35,"&lt;&gt;Done",'Event Operations'!E6:E35,"&gt;="&amp;TODAY()),"-")</f>
        <v>46374</v>
      </c>
      <c r="N16" s="13" t="str">
        <f aca="false" t="array" ref="N16:N16">IF(G16+H16=0,"-",_xlfn.TEXTJOIN(", ",TRUE(),IF(('Event Operations'!L6:L35="RED")+('Event Operations'!L6:L35="AMBER"),"#"&amp;'Event Operations'!A6:A35,"")))</f>
        <v>-</v>
      </c>
    </row>
    <row r="17" customFormat="false" ht="31.5" hidden="false" customHeight="true" outlineLevel="0" collapsed="false">
      <c r="A17" s="11" t="n">
        <v>5</v>
      </c>
      <c r="B17" s="12" t="s">
        <v>34</v>
      </c>
      <c r="C17" s="13" t="s">
        <v>32</v>
      </c>
      <c r="D17" s="11" t="n">
        <f aca="false">COUNT('Media &amp; Communications'!A6:A37)</f>
        <v>27</v>
      </c>
      <c r="E17" s="11" t="n">
        <f aca="false">COUNTIF('Media &amp; Communications'!G6:G37,"Done")</f>
        <v>0</v>
      </c>
      <c r="F17" s="14" t="n">
        <f aca="false">IFERROR(AVERAGE('Media &amp; Communications'!H6:H37),0)</f>
        <v>0</v>
      </c>
      <c r="G17" s="11" t="n">
        <f aca="false">COUNTIF('Media &amp; Communications'!L6:L37,"RED")</f>
        <v>0</v>
      </c>
      <c r="H17" s="11" t="n">
        <f aca="false">COUNTIF('Media &amp; Communications'!L6:L37,"AMBER")</f>
        <v>0</v>
      </c>
      <c r="I17" s="11" t="n">
        <f aca="false">COUNTIF('Media &amp; Communications'!L6:L37,"GREEN")</f>
        <v>27</v>
      </c>
      <c r="J17" s="11" t="n">
        <f aca="false">COUNTIF('Media &amp; Communications'!L6:L37,"GREY")</f>
        <v>0</v>
      </c>
      <c r="K17" s="15" t="str">
        <f aca="false">IF(G17&gt;0,"BEHIND",IF(H17&gt;0,"AT RISK","On track"))</f>
        <v>On track</v>
      </c>
      <c r="L17" s="16" t="n">
        <f aca="false">_xlfn.MAXIFS('Media &amp; Communications'!E6:E37,'Media &amp; Communications'!E6:E37,"&lt;="&amp;(EventDate-28))</f>
        <v>46660</v>
      </c>
      <c r="M17" s="16" t="n">
        <f aca="true">IFERROR(_xlfn.MINIFS('Media &amp; Communications'!E6:E37,'Media &amp; Communications'!G6:G37,"&lt;&gt;Done",'Media &amp; Communications'!E6:E37,"&gt;="&amp;TODAY()),"-")</f>
        <v>46332</v>
      </c>
      <c r="N17" s="13" t="str">
        <f aca="false" t="array" ref="N17:N17">IF(G17+H17=0,"-",_xlfn.TEXTJOIN(", ",TRUE(),IF(('Media &amp; Communications'!L6:L37="RED")+('Media &amp; Communications'!L6:L37="AMBER"),"#"&amp;'Media &amp; Communications'!A6:A37,"")))</f>
        <v>-</v>
      </c>
    </row>
    <row r="18" customFormat="false" ht="31.5" hidden="false" customHeight="true" outlineLevel="0" collapsed="false">
      <c r="A18" s="11" t="n">
        <v>6</v>
      </c>
      <c r="B18" s="12" t="s">
        <v>35</v>
      </c>
      <c r="C18" s="13" t="s">
        <v>32</v>
      </c>
      <c r="D18" s="11" t="n">
        <f aca="false">COUNT('Partnerships &amp; Sponsorship'!A6:A38)</f>
        <v>28</v>
      </c>
      <c r="E18" s="11" t="n">
        <f aca="false">COUNTIF('Partnerships &amp; Sponsorship'!G6:G38,"Done")</f>
        <v>0</v>
      </c>
      <c r="F18" s="14" t="n">
        <f aca="false">IFERROR(AVERAGE('Partnerships &amp; Sponsorship'!H6:H38),0)</f>
        <v>0</v>
      </c>
      <c r="G18" s="11" t="n">
        <f aca="false">COUNTIF('Partnerships &amp; Sponsorship'!L6:L38,"RED")</f>
        <v>0</v>
      </c>
      <c r="H18" s="11" t="n">
        <f aca="false">COUNTIF('Partnerships &amp; Sponsorship'!L6:L38,"AMBER")</f>
        <v>0</v>
      </c>
      <c r="I18" s="11" t="n">
        <f aca="false">COUNTIF('Partnerships &amp; Sponsorship'!L6:L38,"GREEN")</f>
        <v>28</v>
      </c>
      <c r="J18" s="11" t="n">
        <f aca="false">COUNTIF('Partnerships &amp; Sponsorship'!L6:L38,"GREY")</f>
        <v>0</v>
      </c>
      <c r="K18" s="15" t="str">
        <f aca="false">IF(G18&gt;0,"BEHIND",IF(H18&gt;0,"AT RISK","On track"))</f>
        <v>On track</v>
      </c>
      <c r="L18" s="16" t="n">
        <f aca="false">_xlfn.MAXIFS('Partnerships &amp; Sponsorship'!E6:E38,'Partnerships &amp; Sponsorship'!E6:E38,"&lt;="&amp;(EventDate-28))</f>
        <v>46660</v>
      </c>
      <c r="M18" s="16" t="n">
        <f aca="true">IFERROR(_xlfn.MINIFS('Partnerships &amp; Sponsorship'!E6:E38,'Partnerships &amp; Sponsorship'!G6:G38,"&lt;&gt;Done",'Partnerships &amp; Sponsorship'!E6:E38,"&gt;="&amp;TODAY()),"-")</f>
        <v>46324</v>
      </c>
      <c r="N18" s="13" t="str">
        <f aca="false" t="array" ref="N18:N18">IF(G18+H18=0,"-",_xlfn.TEXTJOIN(", ",TRUE(),IF(('Partnerships &amp; Sponsorship'!L6:L38="RED")+('Partnerships &amp; Sponsorship'!L6:L38="AMBER"),"#"&amp;'Partnerships &amp; Sponsorship'!A6:A38,"")))</f>
        <v>-</v>
      </c>
    </row>
    <row r="19" customFormat="false" ht="31.5" hidden="false" customHeight="true" outlineLevel="0" collapsed="false">
      <c r="A19" s="11" t="n">
        <v>7</v>
      </c>
      <c r="B19" s="12" t="s">
        <v>36</v>
      </c>
      <c r="C19" s="13" t="s">
        <v>32</v>
      </c>
      <c r="D19" s="11" t="n">
        <f aca="false">COUNT('Academy &amp; Education'!A6:A27)</f>
        <v>17</v>
      </c>
      <c r="E19" s="11" t="n">
        <f aca="false">COUNTIF('Academy &amp; Education'!G6:G27,"Done")</f>
        <v>0</v>
      </c>
      <c r="F19" s="14" t="n">
        <f aca="false">IFERROR(AVERAGE('Academy &amp; Education'!H6:H27),0)</f>
        <v>0</v>
      </c>
      <c r="G19" s="11" t="n">
        <f aca="false">COUNTIF('Academy &amp; Education'!L6:L27,"RED")</f>
        <v>0</v>
      </c>
      <c r="H19" s="11" t="n">
        <f aca="false">COUNTIF('Academy &amp; Education'!L6:L27,"AMBER")</f>
        <v>0</v>
      </c>
      <c r="I19" s="11" t="n">
        <f aca="false">COUNTIF('Academy &amp; Education'!L6:L27,"GREEN")</f>
        <v>17</v>
      </c>
      <c r="J19" s="11" t="n">
        <f aca="false">COUNTIF('Academy &amp; Education'!L6:L27,"GREY")</f>
        <v>0</v>
      </c>
      <c r="K19" s="15" t="str">
        <f aca="false">IF(G19&gt;0,"BEHIND",IF(H19&gt;0,"AT RISK","On track"))</f>
        <v>On track</v>
      </c>
      <c r="L19" s="16" t="n">
        <f aca="false">_xlfn.MAXIFS('Academy &amp; Education'!E6:E27,'Academy &amp; Education'!E6:E27,"&lt;="&amp;(EventDate-28))</f>
        <v>46660</v>
      </c>
      <c r="M19" s="16" t="n">
        <f aca="true">IFERROR(_xlfn.MINIFS('Academy &amp; Education'!E6:E27,'Academy &amp; Education'!G6:G27,"&lt;&gt;Done",'Academy &amp; Education'!E6:E27,"&gt;="&amp;TODAY()),"-")</f>
        <v>46367</v>
      </c>
      <c r="N19" s="13" t="str">
        <f aca="false" t="array" ref="N19:N19">IF(G19+H19=0,"-",_xlfn.TEXTJOIN(", ",TRUE(),IF(('Academy &amp; Education'!L6:L27="RED")+('Academy &amp; Education'!L6:L27="AMBER"),"#"&amp;'Academy &amp; Education'!A6:A27,"")))</f>
        <v>-</v>
      </c>
    </row>
    <row r="20" customFormat="false" ht="31.5" hidden="false" customHeight="true" outlineLevel="0" collapsed="false">
      <c r="A20" s="11" t="n">
        <v>8</v>
      </c>
      <c r="B20" s="12" t="s">
        <v>37</v>
      </c>
      <c r="C20" s="13" t="s">
        <v>38</v>
      </c>
      <c r="D20" s="11" t="n">
        <f aca="false">COUNT('Finance &amp; Admin'!A6:A31)</f>
        <v>21</v>
      </c>
      <c r="E20" s="11" t="n">
        <f aca="false">COUNTIF('Finance &amp; Admin'!G6:G31,"Done")</f>
        <v>0</v>
      </c>
      <c r="F20" s="14" t="n">
        <f aca="false">IFERROR(AVERAGE('Finance &amp; Admin'!H6:H31),0)</f>
        <v>0</v>
      </c>
      <c r="G20" s="11" t="n">
        <f aca="false">COUNTIF('Finance &amp; Admin'!L6:L31,"RED")</f>
        <v>0</v>
      </c>
      <c r="H20" s="11" t="n">
        <f aca="false">COUNTIF('Finance &amp; Admin'!L6:L31,"AMBER")</f>
        <v>0</v>
      </c>
      <c r="I20" s="11" t="n">
        <f aca="false">COUNTIF('Finance &amp; Admin'!L6:L31,"GREEN")</f>
        <v>21</v>
      </c>
      <c r="J20" s="11" t="n">
        <f aca="false">COUNTIF('Finance &amp; Admin'!L6:L31,"GREY")</f>
        <v>0</v>
      </c>
      <c r="K20" s="15" t="str">
        <f aca="false">IF(G20&gt;0,"BEHIND",IF(H20&gt;0,"AT RISK","On track"))</f>
        <v>On track</v>
      </c>
      <c r="L20" s="16" t="n">
        <f aca="false">_xlfn.MAXIFS('Finance &amp; Admin'!E6:E31,'Finance &amp; Admin'!E6:E31,"&lt;="&amp;(EventDate-28))</f>
        <v>46660</v>
      </c>
      <c r="M20" s="16" t="n">
        <f aca="true">IFERROR(_xlfn.MINIFS('Finance &amp; Admin'!E6:E31,'Finance &amp; Admin'!G6:G31,"&lt;&gt;Done",'Finance &amp; Admin'!E6:E31,"&gt;="&amp;TODAY()),"-")</f>
        <v>46353</v>
      </c>
      <c r="N20" s="13" t="str">
        <f aca="false" t="array" ref="N20:N20">IF(G20+H20=0,"-",_xlfn.TEXTJOIN(", ",TRUE(),IF(('Finance &amp; Admin'!L6:L31="RED")+('Finance &amp; Admin'!L6:L31="AMBER"),"#"&amp;'Finance &amp; Admin'!A6:A31,"")))</f>
        <v>-</v>
      </c>
    </row>
    <row r="21" customFormat="false" ht="31.5" hidden="false" customHeight="true" outlineLevel="0" collapsed="false">
      <c r="A21" s="11" t="n">
        <v>9</v>
      </c>
      <c r="B21" s="12" t="s">
        <v>39</v>
      </c>
      <c r="C21" s="13" t="s">
        <v>32</v>
      </c>
      <c r="D21" s="11" t="n">
        <f aca="false">COUNT(Technology!A6:A34)</f>
        <v>24</v>
      </c>
      <c r="E21" s="11" t="n">
        <f aca="false">COUNTIF(Technology!G6:G34,"Done")</f>
        <v>0</v>
      </c>
      <c r="F21" s="14" t="n">
        <f aca="false">IFERROR(AVERAGE(Technology!H6:H34),0)</f>
        <v>0</v>
      </c>
      <c r="G21" s="11" t="n">
        <f aca="false">COUNTIF(Technology!L6:L34,"RED")</f>
        <v>0</v>
      </c>
      <c r="H21" s="11" t="n">
        <f aca="false">COUNTIF(Technology!L6:L34,"AMBER")</f>
        <v>0</v>
      </c>
      <c r="I21" s="11" t="n">
        <f aca="false">COUNTIF(Technology!L6:L34,"GREEN")</f>
        <v>24</v>
      </c>
      <c r="J21" s="11" t="n">
        <f aca="false">COUNTIF(Technology!L6:L34,"GREY")</f>
        <v>0</v>
      </c>
      <c r="K21" s="15" t="str">
        <f aca="false">IF(G21&gt;0,"BEHIND",IF(H21&gt;0,"AT RISK","On track"))</f>
        <v>On track</v>
      </c>
      <c r="L21" s="16" t="n">
        <f aca="false">_xlfn.MAXIFS(Technology!E6:E34,Technology!E6:E34,"&lt;="&amp;(EventDate-28))</f>
        <v>46660</v>
      </c>
      <c r="M21" s="16" t="n">
        <f aca="true">IFERROR(_xlfn.MINIFS(Technology!E6:E34,Technology!G6:G34,"&lt;&gt;Done",Technology!E6:E34,"&gt;="&amp;TODAY()),"-")</f>
        <v>46339</v>
      </c>
      <c r="N21" s="13" t="str">
        <f aca="false" t="array" ref="N21:N21">IF(G21+H21=0,"-",_xlfn.TEXTJOIN(", ",TRUE(),IF((Technology!L6:L34="RED")+(Technology!L6:L34="AMBER"),"#"&amp;Technology!A6:A34,"")))</f>
        <v>-</v>
      </c>
    </row>
    <row r="22" customFormat="false" ht="31.5" hidden="false" customHeight="true" outlineLevel="0" collapsed="false">
      <c r="A22" s="11" t="n">
        <v>10</v>
      </c>
      <c r="B22" s="12" t="s">
        <v>40</v>
      </c>
      <c r="C22" s="13" t="s">
        <v>41</v>
      </c>
      <c r="D22" s="11" t="n">
        <f aca="false">COUNT('International &amp; Diplomacy'!A6:A27)</f>
        <v>17</v>
      </c>
      <c r="E22" s="11" t="n">
        <f aca="false">COUNTIF('International &amp; Diplomacy'!G6:G27,"Done")</f>
        <v>0</v>
      </c>
      <c r="F22" s="14" t="n">
        <f aca="false">IFERROR(AVERAGE('International &amp; Diplomacy'!H6:H27),0)</f>
        <v>0</v>
      </c>
      <c r="G22" s="11" t="n">
        <f aca="false">COUNTIF('International &amp; Diplomacy'!L6:L27,"RED")</f>
        <v>0</v>
      </c>
      <c r="H22" s="11" t="n">
        <f aca="false">COUNTIF('International &amp; Diplomacy'!L6:L27,"AMBER")</f>
        <v>0</v>
      </c>
      <c r="I22" s="11" t="n">
        <f aca="false">COUNTIF('International &amp; Diplomacy'!L6:L27,"GREEN")</f>
        <v>17</v>
      </c>
      <c r="J22" s="11" t="n">
        <f aca="false">COUNTIF('International &amp; Diplomacy'!L6:L27,"GREY")</f>
        <v>0</v>
      </c>
      <c r="K22" s="15" t="str">
        <f aca="false">IF(G22&gt;0,"BEHIND",IF(H22&gt;0,"AT RISK","On track"))</f>
        <v>On track</v>
      </c>
      <c r="L22" s="16" t="n">
        <f aca="false">_xlfn.MAXIFS('International &amp; Diplomacy'!E6:E27,'International &amp; Diplomacy'!E6:E27,"&lt;="&amp;(EventDate-28))</f>
        <v>46660</v>
      </c>
      <c r="M22" s="16" t="n">
        <f aca="true">IFERROR(_xlfn.MINIFS('International &amp; Diplomacy'!E6:E27,'International &amp; Diplomacy'!G6:G27,"&lt;&gt;Done",'International &amp; Diplomacy'!E6:E27,"&gt;="&amp;TODAY()),"-")</f>
        <v>46346</v>
      </c>
      <c r="N22" s="13" t="str">
        <f aca="false" t="array" ref="N22:N22">IF(G22+H22=0,"-",_xlfn.TEXTJOIN(", ",TRUE(),IF(('International &amp; Diplomacy'!L6:L27="RED")+('International &amp; Diplomacy'!L6:L27="AMBER"),"#"&amp;'International &amp; Diplomacy'!A6:A27,"")))</f>
        <v>-</v>
      </c>
    </row>
    <row r="23" customFormat="false" ht="15" hidden="false" customHeight="false" outlineLevel="0" collapsed="false">
      <c r="A23" s="17"/>
      <c r="B23" s="18" t="s">
        <v>42</v>
      </c>
      <c r="C23" s="17"/>
      <c r="D23" s="17" t="n">
        <f aca="false">SUM(D13:D22)</f>
        <v>222</v>
      </c>
      <c r="E23" s="17" t="n">
        <f aca="false">SUM(E13:E22)</f>
        <v>0</v>
      </c>
      <c r="F23" s="19" t="n">
        <f aca="false">IFERROR(SUMPRODUCT(D13:D22,F13:F22)/D23,0)</f>
        <v>0</v>
      </c>
      <c r="G23" s="17" t="n">
        <f aca="false">SUM(G13:G22)</f>
        <v>0</v>
      </c>
      <c r="H23" s="17" t="n">
        <f aca="false">SUM(H13:H22)</f>
        <v>0</v>
      </c>
      <c r="I23" s="17" t="n">
        <f aca="false">SUM(I13:I22)</f>
        <v>222</v>
      </c>
      <c r="J23" s="17" t="n">
        <f aca="false">SUM(J13:J22)</f>
        <v>0</v>
      </c>
      <c r="K23" s="17" t="str">
        <f aca="false">IF(G23&gt;0,"BEHIND",IF(H23&gt;0,"AT RISK","On track"))</f>
        <v>On track</v>
      </c>
      <c r="L23" s="20" t="n">
        <f aca="false">MAX(L13:L22)</f>
        <v>46660</v>
      </c>
      <c r="M23" s="17"/>
      <c r="N23" s="17"/>
    </row>
    <row r="25" customFormat="false" ht="15" hidden="false" customHeight="false" outlineLevel="0" collapsed="false">
      <c r="A25" s="9" t="s">
        <v>43</v>
      </c>
    </row>
    <row r="26" customFormat="false" ht="30" hidden="false" customHeight="true" outlineLevel="0" collapsed="false">
      <c r="A26" s="10" t="s">
        <v>13</v>
      </c>
      <c r="B26" s="10" t="s">
        <v>44</v>
      </c>
      <c r="C26" s="10"/>
      <c r="D26" s="10" t="s">
        <v>45</v>
      </c>
      <c r="E26" s="10" t="s">
        <v>46</v>
      </c>
      <c r="F26" s="10" t="s">
        <v>47</v>
      </c>
      <c r="G26" s="10" t="s">
        <v>48</v>
      </c>
      <c r="H26" s="10"/>
      <c r="I26" s="10"/>
      <c r="J26" s="10"/>
      <c r="K26" s="10"/>
      <c r="L26" s="10"/>
      <c r="M26" s="10"/>
      <c r="N26" s="10"/>
    </row>
    <row r="27" customFormat="false" ht="30" hidden="false" customHeight="true" outlineLevel="0" collapsed="false">
      <c r="A27" s="11" t="n">
        <v>1</v>
      </c>
      <c r="B27" s="21" t="s">
        <v>49</v>
      </c>
      <c r="C27" s="21"/>
      <c r="D27" s="16" t="n">
        <v>46374</v>
      </c>
      <c r="E27" s="22" t="n">
        <f aca="true">D27-TODAY()</f>
        <v>53</v>
      </c>
      <c r="F27" s="23" t="n">
        <f aca="false">ROUND((EventDate-D27)/7,1)</f>
        <v>46.9</v>
      </c>
      <c r="G27" s="13" t="s">
        <v>50</v>
      </c>
      <c r="H27" s="13"/>
      <c r="I27" s="13"/>
      <c r="J27" s="13"/>
      <c r="K27" s="13"/>
      <c r="L27" s="13"/>
      <c r="M27" s="13"/>
      <c r="N27" s="13"/>
    </row>
    <row r="28" customFormat="false" ht="31.5" hidden="false" customHeight="true" outlineLevel="0" collapsed="false">
      <c r="A28" s="11" t="n">
        <v>2</v>
      </c>
      <c r="B28" s="21" t="s">
        <v>51</v>
      </c>
      <c r="C28" s="21"/>
      <c r="D28" s="16" t="n">
        <v>46374</v>
      </c>
      <c r="E28" s="22" t="n">
        <f aca="true">D28-TODAY()</f>
        <v>53</v>
      </c>
      <c r="F28" s="23" t="n">
        <f aca="false">ROUND((EventDate-D28)/7,1)</f>
        <v>46.9</v>
      </c>
      <c r="G28" s="13" t="s">
        <v>52</v>
      </c>
      <c r="H28" s="13"/>
      <c r="I28" s="13"/>
      <c r="J28" s="13"/>
      <c r="K28" s="13"/>
      <c r="L28" s="13"/>
      <c r="M28" s="13"/>
      <c r="N28" s="13"/>
    </row>
    <row r="29" customFormat="false" ht="31.5" hidden="false" customHeight="true" outlineLevel="0" collapsed="false">
      <c r="A29" s="11" t="n">
        <v>3</v>
      </c>
      <c r="B29" s="21" t="s">
        <v>53</v>
      </c>
      <c r="C29" s="21"/>
      <c r="D29" s="16" t="n">
        <f aca="false">EventDate-195</f>
        <v>46507</v>
      </c>
      <c r="E29" s="22" t="n">
        <f aca="true">D29-TODAY()</f>
        <v>186</v>
      </c>
      <c r="F29" s="23" t="n">
        <f aca="false">ROUND((EventDate-D29)/7,1)</f>
        <v>27.9</v>
      </c>
      <c r="G29" s="13" t="s">
        <v>54</v>
      </c>
      <c r="H29" s="13"/>
      <c r="I29" s="13"/>
      <c r="J29" s="13"/>
      <c r="K29" s="13"/>
      <c r="L29" s="13"/>
      <c r="M29" s="13"/>
      <c r="N29" s="13"/>
    </row>
    <row r="30" customFormat="false" ht="30" hidden="false" customHeight="true" outlineLevel="0" collapsed="false">
      <c r="A30" s="11" t="n">
        <v>4</v>
      </c>
      <c r="B30" s="21" t="s">
        <v>55</v>
      </c>
      <c r="C30" s="21"/>
      <c r="D30" s="16" t="n">
        <v>46416</v>
      </c>
      <c r="E30" s="22" t="n">
        <f aca="true">D30-TODAY()</f>
        <v>95</v>
      </c>
      <c r="F30" s="23" t="n">
        <f aca="false">ROUND((EventDate-D30)/7,1)</f>
        <v>40.9</v>
      </c>
      <c r="G30" s="13" t="s">
        <v>56</v>
      </c>
      <c r="H30" s="13"/>
      <c r="I30" s="13"/>
      <c r="J30" s="13"/>
      <c r="K30" s="13"/>
      <c r="L30" s="13"/>
      <c r="M30" s="13"/>
      <c r="N30" s="13"/>
    </row>
    <row r="31" customFormat="false" ht="31.5" hidden="false" customHeight="true" outlineLevel="0" collapsed="false">
      <c r="A31" s="11" t="n">
        <v>5</v>
      </c>
      <c r="B31" s="21" t="s">
        <v>57</v>
      </c>
      <c r="C31" s="21"/>
      <c r="D31" s="16" t="n">
        <v>46398</v>
      </c>
      <c r="E31" s="22" t="n">
        <f aca="true">D31-TODAY()</f>
        <v>77</v>
      </c>
      <c r="F31" s="23" t="n">
        <f aca="false">ROUND((EventDate-D31)/7,1)</f>
        <v>43.4</v>
      </c>
      <c r="G31" s="13" t="s">
        <v>58</v>
      </c>
      <c r="H31" s="13"/>
      <c r="I31" s="13"/>
      <c r="J31" s="13"/>
      <c r="K31" s="13"/>
      <c r="L31" s="13"/>
      <c r="M31" s="13"/>
      <c r="N31" s="13"/>
    </row>
    <row r="32" customFormat="false" ht="31.5" hidden="false" customHeight="true" outlineLevel="0" collapsed="false">
      <c r="A32" s="11" t="n">
        <v>6</v>
      </c>
      <c r="B32" s="21" t="s">
        <v>59</v>
      </c>
      <c r="C32" s="21"/>
      <c r="D32" s="16" t="n">
        <v>46374</v>
      </c>
      <c r="E32" s="22" t="n">
        <f aca="true">D32-TODAY()</f>
        <v>53</v>
      </c>
      <c r="F32" s="23" t="n">
        <f aca="false">ROUND((EventDate-D32)/7,1)</f>
        <v>46.9</v>
      </c>
      <c r="G32" s="13" t="s">
        <v>60</v>
      </c>
      <c r="H32" s="13"/>
      <c r="I32" s="13"/>
      <c r="J32" s="13"/>
      <c r="K32" s="13"/>
      <c r="L32" s="13"/>
      <c r="M32" s="13"/>
      <c r="N32" s="13"/>
    </row>
    <row r="33" customFormat="false" ht="31.5" hidden="false" customHeight="true" outlineLevel="0" collapsed="false">
      <c r="A33" s="11" t="n">
        <v>7</v>
      </c>
      <c r="B33" s="21" t="s">
        <v>61</v>
      </c>
      <c r="C33" s="21"/>
      <c r="D33" s="16" t="n">
        <f aca="false">EventDate-72</f>
        <v>46630</v>
      </c>
      <c r="E33" s="22" t="n">
        <f aca="true">D33-TODAY()</f>
        <v>309</v>
      </c>
      <c r="F33" s="23" t="n">
        <f aca="false">ROUND((EventDate-D33)/7,1)</f>
        <v>10.3</v>
      </c>
      <c r="G33" s="13" t="s">
        <v>62</v>
      </c>
      <c r="H33" s="13"/>
      <c r="I33" s="13"/>
      <c r="J33" s="13"/>
      <c r="K33" s="13"/>
      <c r="L33" s="13"/>
      <c r="M33" s="13"/>
      <c r="N33" s="13"/>
    </row>
    <row r="34" customFormat="false" ht="31.5" hidden="false" customHeight="true" outlineLevel="0" collapsed="false">
      <c r="A34" s="11" t="n">
        <v>8</v>
      </c>
      <c r="B34" s="21" t="s">
        <v>63</v>
      </c>
      <c r="C34" s="21"/>
      <c r="D34" s="16" t="n">
        <v>46477</v>
      </c>
      <c r="E34" s="22" t="n">
        <f aca="true">D34-TODAY()</f>
        <v>156</v>
      </c>
      <c r="F34" s="23" t="n">
        <f aca="false">ROUND((EventDate-D34)/7,1)</f>
        <v>32.1</v>
      </c>
      <c r="G34" s="13" t="s">
        <v>64</v>
      </c>
      <c r="H34" s="13"/>
      <c r="I34" s="13"/>
      <c r="J34" s="13"/>
      <c r="K34" s="13"/>
      <c r="L34" s="13"/>
      <c r="M34" s="13"/>
      <c r="N34" s="13"/>
    </row>
    <row r="35" customFormat="false" ht="30" hidden="false" customHeight="true" outlineLevel="0" collapsed="false">
      <c r="A35" s="11" t="n">
        <v>9</v>
      </c>
      <c r="B35" s="21" t="s">
        <v>65</v>
      </c>
      <c r="C35" s="21"/>
      <c r="D35" s="16" t="n">
        <f aca="false">EventDate-134</f>
        <v>46568</v>
      </c>
      <c r="E35" s="22" t="n">
        <f aca="true">D35-TODAY()</f>
        <v>247</v>
      </c>
      <c r="F35" s="23" t="n">
        <f aca="false">ROUND((EventDate-D35)/7,1)</f>
        <v>19.1</v>
      </c>
      <c r="G35" s="13" t="s">
        <v>66</v>
      </c>
      <c r="H35" s="13"/>
      <c r="I35" s="13"/>
      <c r="J35" s="13"/>
      <c r="K35" s="13"/>
      <c r="L35" s="13"/>
      <c r="M35" s="13"/>
      <c r="N35" s="13"/>
    </row>
    <row r="36" customFormat="false" ht="31.5" hidden="false" customHeight="true" outlineLevel="0" collapsed="false">
      <c r="A36" s="11" t="n">
        <v>10</v>
      </c>
      <c r="B36" s="21" t="s">
        <v>67</v>
      </c>
      <c r="C36" s="21"/>
      <c r="D36" s="16" t="n">
        <f aca="false">EventDate-76</f>
        <v>46626</v>
      </c>
      <c r="E36" s="22" t="n">
        <f aca="true">D36-TODAY()</f>
        <v>305</v>
      </c>
      <c r="F36" s="23" t="n">
        <f aca="false">ROUND((EventDate-D36)/7,1)</f>
        <v>10.9</v>
      </c>
      <c r="G36" s="13" t="s">
        <v>68</v>
      </c>
      <c r="H36" s="13"/>
      <c r="I36" s="13"/>
      <c r="J36" s="13"/>
      <c r="K36" s="13"/>
      <c r="L36" s="13"/>
      <c r="M36" s="13"/>
      <c r="N36" s="13"/>
    </row>
    <row r="37" customFormat="false" ht="30" hidden="false" customHeight="true" outlineLevel="0" collapsed="false">
      <c r="A37" s="11" t="n">
        <v>11</v>
      </c>
      <c r="B37" s="21" t="s">
        <v>69</v>
      </c>
      <c r="C37" s="21"/>
      <c r="D37" s="16" t="n">
        <f aca="false">EventDate-48</f>
        <v>46654</v>
      </c>
      <c r="E37" s="22" t="n">
        <f aca="true">D37-TODAY()</f>
        <v>333</v>
      </c>
      <c r="F37" s="23" t="n">
        <f aca="false">ROUND((EventDate-D37)/7,1)</f>
        <v>6.9</v>
      </c>
      <c r="G37" s="13" t="s">
        <v>70</v>
      </c>
      <c r="H37" s="13"/>
      <c r="I37" s="13"/>
      <c r="J37" s="13"/>
      <c r="K37" s="13"/>
      <c r="L37" s="13"/>
      <c r="M37" s="13"/>
      <c r="N37" s="13"/>
    </row>
    <row r="38" customFormat="false" ht="31.5" hidden="false" customHeight="true" outlineLevel="0" collapsed="false">
      <c r="A38" s="11" t="n">
        <v>12</v>
      </c>
      <c r="B38" s="21" t="s">
        <v>71</v>
      </c>
      <c r="C38" s="21"/>
      <c r="D38" s="16" t="n">
        <f aca="false">EventDate-42</f>
        <v>46660</v>
      </c>
      <c r="E38" s="22" t="n">
        <f aca="true">D38-TODAY()</f>
        <v>339</v>
      </c>
      <c r="F38" s="23" t="n">
        <f aca="false">ROUND((EventDate-D38)/7,1)</f>
        <v>6</v>
      </c>
      <c r="G38" s="13" t="s">
        <v>72</v>
      </c>
      <c r="H38" s="13"/>
      <c r="I38" s="13"/>
      <c r="J38" s="13"/>
      <c r="K38" s="13"/>
      <c r="L38" s="13"/>
      <c r="M38" s="13"/>
      <c r="N38" s="13"/>
    </row>
    <row r="39" customFormat="false" ht="31.5" hidden="false" customHeight="true" outlineLevel="0" collapsed="false">
      <c r="A39" s="24" t="n">
        <v>13</v>
      </c>
      <c r="B39" s="25" t="s">
        <v>73</v>
      </c>
      <c r="C39" s="25"/>
      <c r="D39" s="26" t="n">
        <f aca="false">EventDate-42</f>
        <v>46660</v>
      </c>
      <c r="E39" s="27" t="n">
        <f aca="true">D39-TODAY()</f>
        <v>339</v>
      </c>
      <c r="F39" s="28" t="n">
        <f aca="false">ROUND((EventDate-D39)/7,1)</f>
        <v>6</v>
      </c>
      <c r="G39" s="29" t="s">
        <v>74</v>
      </c>
      <c r="H39" s="29"/>
      <c r="I39" s="29"/>
      <c r="J39" s="29"/>
      <c r="K39" s="29"/>
      <c r="L39" s="29"/>
      <c r="M39" s="29"/>
      <c r="N39" s="29"/>
    </row>
    <row r="40" customFormat="false" ht="30" hidden="false" customHeight="true" outlineLevel="0" collapsed="false">
      <c r="A40" s="24" t="n">
        <v>14</v>
      </c>
      <c r="B40" s="25" t="s">
        <v>75</v>
      </c>
      <c r="C40" s="25"/>
      <c r="D40" s="26" t="n">
        <f aca="false">EventDate-28</f>
        <v>46674</v>
      </c>
      <c r="E40" s="27" t="n">
        <f aca="true">D40-TODAY()</f>
        <v>353</v>
      </c>
      <c r="F40" s="28" t="n">
        <f aca="false">ROUND((EventDate-D40)/7,1)</f>
        <v>4</v>
      </c>
      <c r="G40" s="29" t="s">
        <v>76</v>
      </c>
      <c r="H40" s="29"/>
      <c r="I40" s="29"/>
      <c r="J40" s="29"/>
      <c r="K40" s="29"/>
      <c r="L40" s="29"/>
      <c r="M40" s="29"/>
      <c r="N40" s="29"/>
    </row>
    <row r="41" customFormat="false" ht="30" hidden="false" customHeight="true" outlineLevel="0" collapsed="false">
      <c r="A41" s="30" t="n">
        <v>15</v>
      </c>
      <c r="B41" s="31" t="s">
        <v>77</v>
      </c>
      <c r="C41" s="31"/>
      <c r="D41" s="32" t="n">
        <f aca="false">EventDate-27</f>
        <v>46675</v>
      </c>
      <c r="E41" s="33" t="n">
        <f aca="true">D41-TODAY()</f>
        <v>354</v>
      </c>
      <c r="F41" s="34" t="n">
        <f aca="false">ROUND((EventDate-D41)/7,1)</f>
        <v>3.9</v>
      </c>
      <c r="G41" s="35" t="s">
        <v>78</v>
      </c>
      <c r="H41" s="35"/>
      <c r="I41" s="35"/>
      <c r="J41" s="35"/>
      <c r="K41" s="35"/>
      <c r="L41" s="35"/>
      <c r="M41" s="35"/>
      <c r="N41" s="35"/>
    </row>
    <row r="42" customFormat="false" ht="31.5" hidden="false" customHeight="true" outlineLevel="0" collapsed="false">
      <c r="A42" s="36" t="n">
        <v>16</v>
      </c>
      <c r="B42" s="37" t="s">
        <v>79</v>
      </c>
      <c r="C42" s="37"/>
      <c r="D42" s="38" t="n">
        <f aca="false">EventDate</f>
        <v>46702</v>
      </c>
      <c r="E42" s="39" t="n">
        <f aca="true">D42-TODAY()</f>
        <v>381</v>
      </c>
      <c r="F42" s="40" t="n">
        <f aca="false">ROUND((EventDate-D42)/7,1)</f>
        <v>0</v>
      </c>
      <c r="G42" s="41" t="s">
        <v>80</v>
      </c>
      <c r="H42" s="41"/>
      <c r="I42" s="41"/>
      <c r="J42" s="41"/>
      <c r="K42" s="41"/>
      <c r="L42" s="41"/>
      <c r="M42" s="41"/>
      <c r="N42" s="41"/>
    </row>
    <row r="43" customFormat="false" ht="30" hidden="false" customHeight="true" outlineLevel="0" collapsed="false">
      <c r="A43" s="11" t="n">
        <v>17</v>
      </c>
      <c r="B43" s="21" t="s">
        <v>81</v>
      </c>
      <c r="C43" s="21"/>
      <c r="D43" s="16" t="n">
        <f aca="false">EventDate+7</f>
        <v>46709</v>
      </c>
      <c r="E43" s="22" t="n">
        <f aca="true">D43-TODAY()</f>
        <v>388</v>
      </c>
      <c r="F43" s="23" t="n">
        <f aca="false">ROUND((EventDate-D43)/7,1)</f>
        <v>-1</v>
      </c>
      <c r="G43" s="13" t="s">
        <v>82</v>
      </c>
      <c r="H43" s="13"/>
      <c r="I43" s="13"/>
      <c r="J43" s="13"/>
      <c r="K43" s="13"/>
      <c r="L43" s="13"/>
      <c r="M43" s="13"/>
      <c r="N43" s="13"/>
    </row>
    <row r="44" customFormat="false" ht="30" hidden="false" customHeight="true" outlineLevel="0" collapsed="false">
      <c r="A44" s="11" t="n">
        <v>18</v>
      </c>
      <c r="B44" s="21" t="s">
        <v>83</v>
      </c>
      <c r="C44" s="21"/>
      <c r="D44" s="16" t="n">
        <f aca="false">EventDate+60</f>
        <v>46762</v>
      </c>
      <c r="E44" s="22" t="n">
        <f aca="true">D44-TODAY()</f>
        <v>441</v>
      </c>
      <c r="F44" s="23" t="n">
        <f aca="false">ROUND((EventDate-D44)/7,1)</f>
        <v>-8.6</v>
      </c>
      <c r="G44" s="13" t="s">
        <v>84</v>
      </c>
      <c r="H44" s="13"/>
      <c r="I44" s="13"/>
      <c r="J44" s="13"/>
      <c r="K44" s="13"/>
      <c r="L44" s="13"/>
      <c r="M44" s="13"/>
      <c r="N44" s="13"/>
    </row>
  </sheetData>
  <mergeCells count="47">
    <mergeCell ref="A1:N1"/>
    <mergeCell ref="A2:N2"/>
    <mergeCell ref="D4:G4"/>
    <mergeCell ref="H4:N9"/>
    <mergeCell ref="D5:G5"/>
    <mergeCell ref="D6:G6"/>
    <mergeCell ref="D7:G7"/>
    <mergeCell ref="D8:G8"/>
    <mergeCell ref="D9:G9"/>
    <mergeCell ref="B26:C26"/>
    <mergeCell ref="G26:N26"/>
    <mergeCell ref="B27:C27"/>
    <mergeCell ref="G27:N27"/>
    <mergeCell ref="B28:C28"/>
    <mergeCell ref="G28:N28"/>
    <mergeCell ref="B29:C29"/>
    <mergeCell ref="G29:N29"/>
    <mergeCell ref="B30:C30"/>
    <mergeCell ref="G30:N30"/>
    <mergeCell ref="B31:C31"/>
    <mergeCell ref="G31:N31"/>
    <mergeCell ref="B32:C32"/>
    <mergeCell ref="G32:N32"/>
    <mergeCell ref="B33:C33"/>
    <mergeCell ref="G33:N33"/>
    <mergeCell ref="B34:C34"/>
    <mergeCell ref="G34:N34"/>
    <mergeCell ref="B35:C35"/>
    <mergeCell ref="G35:N35"/>
    <mergeCell ref="B36:C36"/>
    <mergeCell ref="G36:N36"/>
    <mergeCell ref="B37:C37"/>
    <mergeCell ref="G37:N37"/>
    <mergeCell ref="B38:C38"/>
    <mergeCell ref="G38:N38"/>
    <mergeCell ref="B39:C39"/>
    <mergeCell ref="G39:N39"/>
    <mergeCell ref="B40:C40"/>
    <mergeCell ref="G40:N40"/>
    <mergeCell ref="B41:C41"/>
    <mergeCell ref="G41:N41"/>
    <mergeCell ref="B42:C42"/>
    <mergeCell ref="G42:N42"/>
    <mergeCell ref="B43:C43"/>
    <mergeCell ref="G43:N43"/>
    <mergeCell ref="B44:C44"/>
    <mergeCell ref="G44:N44"/>
  </mergeCells>
  <conditionalFormatting sqref="K13:K23">
    <cfRule type="cellIs" priority="2" operator="equal" aboveAverage="0" equalAverage="0" bottom="0" percent="0" rank="0" text="" dxfId="0">
      <formula>"BEHIND"</formula>
    </cfRule>
    <cfRule type="cellIs" priority="3" operator="equal" aboveAverage="0" equalAverage="0" bottom="0" percent="0" rank="0" text="" dxfId="1">
      <formula>"AT RISK"</formula>
    </cfRule>
    <cfRule type="cellIs" priority="4" operator="equal" aboveAverage="0" equalAverage="0" bottom="0" percent="0" rank="0" text="" dxfId="2">
      <formula>"On track"</formula>
    </cfRule>
  </conditionalFormatting>
  <conditionalFormatting sqref="G13:G22">
    <cfRule type="cellIs" priority="5" operator="greaterThan" aboveAverage="0" equalAverage="0" bottom="0" percent="0" rank="0" text="" dxfId="0">
      <formula>0</formula>
    </cfRule>
  </conditionalFormatting>
  <conditionalFormatting sqref="H13:H22">
    <cfRule type="cellIs" priority="6" operator="greaterThan" aboveAverage="0" equalAverage="0" bottom="0" percent="0" rank="0" text="" dxfId="1">
      <formula>0</formula>
    </cfRule>
  </conditionalFormatting>
  <conditionalFormatting sqref="H4:N9">
    <cfRule type="expression" priority="7" aboveAverage="0" equalAverage="0" bottom="0" percent="0" rank="0" text="" dxfId="3">
      <formula>$G$23+$H$23=0</formula>
    </cfRule>
    <cfRule type="expression" priority="8" aboveAverage="0" equalAverage="0" bottom="0" percent="0" rank="0" text="" dxfId="4">
      <formula>$G$23&gt;0</formula>
    </cfRule>
    <cfRule type="expression" priority="9" aboveAverage="0" equalAverage="0" bottom="0" percent="0" rank="0" text="" dxfId="5">
      <formula>AND($G$23=0,$H$23&gt;0)</formula>
    </cfRule>
  </conditionalFormatting>
  <hyperlinks>
    <hyperlink ref="B13" location="'Office of the Founder'!A1" display="Office of the Founder"/>
    <hyperlink ref="B14" location="'Programs &amp; Competition'!A1" display="Programs &amp; Competition"/>
    <hyperlink ref="B15" location="'Child Welfare &amp; Safeguarding'!A1" display="Child Welfare &amp; Safeguarding"/>
    <hyperlink ref="B16" location="'Event Operations'!A1" display="Event Operations"/>
    <hyperlink ref="B17" location="'Media &amp; Communications'!A1" display="Media &amp; Communications"/>
    <hyperlink ref="B18" location="'Partnerships &amp; Sponsorship'!A1" display="Partnerships &amp; Sponsorship"/>
    <hyperlink ref="B19" location="'Academy &amp; Education'!A1" display="Academy &amp; Education"/>
    <hyperlink ref="B20" location="'Finance &amp; Admin'!A1" display="Finance &amp; Admin"/>
    <hyperlink ref="B21" location="'Technology'!A1" display="Technology"/>
    <hyperlink ref="B22" location="'International &amp; Diplomacy'!A1" display="International &amp; Diplomacy"/>
  </hyperlinks>
  <printOptions headings="false" gridLines="false" gridLinesSet="true" horizontalCentered="fals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&amp;A  -  page &amp;P of &amp;N  -  PROPOSED date, subject to sponsor approval</oddFooter>
  </headerFooter>
  <rowBreaks count="1" manualBreakCount="1">
    <brk id="24" man="true" max="16383" min="0"/>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24A"/>
    <pageSetUpPr fitToPage="true"/>
  </sheetPr>
  <dimension ref="A1:Q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17" min="3" style="0" width="8"/>
  </cols>
  <sheetData>
    <row r="1" customFormat="false" ht="27.75" hidden="false" customHeight="true" outlineLevel="0" collapsed="false">
      <c r="A1" s="42" t="s">
        <v>85</v>
      </c>
      <c r="B1" s="42"/>
      <c r="C1" s="42"/>
      <c r="D1" s="42"/>
      <c r="E1" s="42"/>
      <c r="F1" s="42"/>
      <c r="G1" s="42"/>
      <c r="H1" s="42"/>
      <c r="I1" s="42"/>
      <c r="J1" s="42"/>
      <c r="K1" s="42"/>
      <c r="L1" s="42"/>
      <c r="M1" s="42"/>
      <c r="N1" s="42"/>
      <c r="O1" s="42"/>
      <c r="P1" s="42"/>
      <c r="Q1" s="42"/>
    </row>
    <row r="2" customFormat="false" ht="19.5" hidden="false" customHeight="true" outlineLevel="0" collapsed="false">
      <c r="A2" s="43" t="s">
        <v>86</v>
      </c>
      <c r="B2" s="43"/>
      <c r="C2" s="43"/>
      <c r="D2" s="43"/>
      <c r="E2" s="43"/>
      <c r="F2" s="43"/>
      <c r="G2" s="43"/>
      <c r="H2" s="43"/>
      <c r="I2" s="43"/>
      <c r="J2" s="43"/>
      <c r="K2" s="43"/>
      <c r="L2" s="43"/>
      <c r="M2" s="43"/>
      <c r="N2" s="43"/>
      <c r="O2" s="43"/>
      <c r="P2" s="43"/>
      <c r="Q2" s="43"/>
    </row>
    <row r="4" customFormat="false" ht="24" hidden="false" customHeight="true" outlineLevel="0" collapsed="false">
      <c r="A4" s="10" t="s">
        <v>14</v>
      </c>
      <c r="B4" s="10" t="s">
        <v>15</v>
      </c>
      <c r="C4" s="44" t="n">
        <v>46296</v>
      </c>
      <c r="D4" s="44" t="n">
        <v>46327</v>
      </c>
      <c r="E4" s="44" t="n">
        <v>46357</v>
      </c>
      <c r="F4" s="44" t="n">
        <v>46388</v>
      </c>
      <c r="G4" s="44" t="n">
        <v>46419</v>
      </c>
      <c r="H4" s="44" t="n">
        <v>46447</v>
      </c>
      <c r="I4" s="44" t="n">
        <v>46478</v>
      </c>
      <c r="J4" s="44" t="n">
        <v>46508</v>
      </c>
      <c r="K4" s="44" t="n">
        <v>46539</v>
      </c>
      <c r="L4" s="44" t="n">
        <v>46569</v>
      </c>
      <c r="M4" s="44" t="n">
        <v>46600</v>
      </c>
      <c r="N4" s="44" t="n">
        <v>46631</v>
      </c>
      <c r="O4" s="44" t="n">
        <v>46661</v>
      </c>
      <c r="P4" s="44" t="n">
        <v>46692</v>
      </c>
      <c r="Q4" s="44" t="n">
        <v>46722</v>
      </c>
    </row>
    <row r="5" customFormat="false" ht="27.75" hidden="false" customHeight="true" outlineLevel="0" collapsed="false">
      <c r="A5" s="45" t="s">
        <v>27</v>
      </c>
      <c r="B5" s="46" t="s">
        <v>28</v>
      </c>
      <c r="C5" s="47" t="n">
        <f aca="false">COUNTIFS('Office of the Founder'!$D$6:$D$26,"&lt;="&amp;EOMONTH(C$4,0),'Office of the Founder'!$E$6:$E$26,"&gt;="&amp;C$4)</f>
        <v>3</v>
      </c>
      <c r="D5" s="47" t="n">
        <f aca="false">COUNTIFS('Office of the Founder'!$D$6:$D$26,"&lt;="&amp;EOMONTH(D$4,0),'Office of the Founder'!$E$6:$E$26,"&gt;="&amp;D$4)</f>
        <v>6</v>
      </c>
      <c r="E5" s="47" t="n">
        <f aca="false">COUNTIFS('Office of the Founder'!$D$6:$D$26,"&lt;="&amp;EOMONTH(E$4,0),'Office of the Founder'!$E$6:$E$26,"&gt;="&amp;E$4)</f>
        <v>4</v>
      </c>
      <c r="F5" s="47" t="n">
        <f aca="false">COUNTIFS('Office of the Founder'!$D$6:$D$26,"&lt;="&amp;EOMONTH(F$4,0),'Office of the Founder'!$E$6:$E$26,"&gt;="&amp;F$4)</f>
        <v>4</v>
      </c>
      <c r="G5" s="47" t="n">
        <f aca="false">COUNTIFS('Office of the Founder'!$D$6:$D$26,"&lt;="&amp;EOMONTH(G$4,0),'Office of the Founder'!$E$6:$E$26,"&gt;="&amp;G$4)</f>
        <v>3</v>
      </c>
      <c r="H5" s="47" t="n">
        <f aca="false">COUNTIFS('Office of the Founder'!$D$6:$D$26,"&lt;="&amp;EOMONTH(H$4,0),'Office of the Founder'!$E$6:$E$26,"&gt;="&amp;H$4)</f>
        <v>3</v>
      </c>
      <c r="I5" s="47" t="n">
        <f aca="false">COUNTIFS('Office of the Founder'!$D$6:$D$26,"&lt;="&amp;EOMONTH(I$4,0),'Office of the Founder'!$E$6:$E$26,"&gt;="&amp;I$4)</f>
        <v>2</v>
      </c>
      <c r="J5" s="47" t="n">
        <f aca="false">COUNTIFS('Office of the Founder'!$D$6:$D$26,"&lt;="&amp;EOMONTH(J$4,0),'Office of the Founder'!$E$6:$E$26,"&gt;="&amp;J$4)</f>
        <v>2</v>
      </c>
      <c r="K5" s="47" t="n">
        <f aca="false">COUNTIFS('Office of the Founder'!$D$6:$D$26,"&lt;="&amp;EOMONTH(K$4,0),'Office of the Founder'!$E$6:$E$26,"&gt;="&amp;K$4)</f>
        <v>3</v>
      </c>
      <c r="L5" s="47" t="n">
        <f aca="false">COUNTIFS('Office of the Founder'!$D$6:$D$26,"&lt;="&amp;EOMONTH(L$4,0),'Office of the Founder'!$E$6:$E$26,"&gt;="&amp;L$4)</f>
        <v>2</v>
      </c>
      <c r="M5" s="47" t="n">
        <f aca="false">COUNTIFS('Office of the Founder'!$D$6:$D$26,"&lt;="&amp;EOMONTH(M$4,0),'Office of the Founder'!$E$6:$E$26,"&gt;="&amp;M$4)</f>
        <v>3</v>
      </c>
      <c r="N5" s="47" t="n">
        <f aca="false">COUNTIFS('Office of the Founder'!$D$6:$D$26,"&lt;="&amp;EOMONTH(N$4,0),'Office of the Founder'!$E$6:$E$26,"&gt;="&amp;N$4)</f>
        <v>3</v>
      </c>
      <c r="O5" s="47" t="n">
        <f aca="false">COUNTIFS('Office of the Founder'!$D$6:$D$26,"&lt;="&amp;EOMONTH(O$4,0),'Office of the Founder'!$E$6:$E$26,"&gt;="&amp;O$4)</f>
        <v>2</v>
      </c>
      <c r="P5" s="47" t="n">
        <f aca="false">COUNTIFS('Office of the Founder'!$D$6:$D$26,"&lt;="&amp;EOMONTH(P$4,0),'Office of the Founder'!$E$6:$E$26,"&gt;="&amp;P$4)</f>
        <v>3</v>
      </c>
      <c r="Q5" s="47" t="n">
        <f aca="false">COUNTIFS('Office of the Founder'!$D$6:$D$26,"&lt;="&amp;EOMONTH(Q$4,0),'Office of the Founder'!$E$6:$E$26,"&gt;="&amp;Q$4)</f>
        <v>1</v>
      </c>
    </row>
    <row r="6" customFormat="false" ht="27.75" hidden="false" customHeight="true" outlineLevel="0" collapsed="false">
      <c r="A6" s="45" t="s">
        <v>29</v>
      </c>
      <c r="B6" s="46" t="s">
        <v>30</v>
      </c>
      <c r="C6" s="47" t="n">
        <f aca="false">COUNTIFS('Programs &amp; Competition'!$D$6:$D$37,"&lt;="&amp;EOMONTH(C$4,0),'Programs &amp; Competition'!$E$6:$E$37,"&gt;="&amp;C$4)</f>
        <v>0</v>
      </c>
      <c r="D6" s="47" t="n">
        <f aca="false">COUNTIFS('Programs &amp; Competition'!$D$6:$D$37,"&lt;="&amp;EOMONTH(D$4,0),'Programs &amp; Competition'!$E$6:$E$37,"&gt;="&amp;D$4)</f>
        <v>2</v>
      </c>
      <c r="E6" s="47" t="n">
        <f aca="false">COUNTIFS('Programs &amp; Competition'!$D$6:$D$37,"&lt;="&amp;EOMONTH(E$4,0),'Programs &amp; Competition'!$E$6:$E$37,"&gt;="&amp;E$4)</f>
        <v>3</v>
      </c>
      <c r="F6" s="47" t="n">
        <f aca="false">COUNTIFS('Programs &amp; Competition'!$D$6:$D$37,"&lt;="&amp;EOMONTH(F$4,0),'Programs &amp; Competition'!$E$6:$E$37,"&gt;="&amp;F$4)</f>
        <v>3</v>
      </c>
      <c r="G6" s="47" t="n">
        <f aca="false">COUNTIFS('Programs &amp; Competition'!$D$6:$D$37,"&lt;="&amp;EOMONTH(G$4,0),'Programs &amp; Competition'!$E$6:$E$37,"&gt;="&amp;G$4)</f>
        <v>4</v>
      </c>
      <c r="H6" s="47" t="n">
        <f aca="false">COUNTIFS('Programs &amp; Competition'!$D$6:$D$37,"&lt;="&amp;EOMONTH(H$4,0),'Programs &amp; Competition'!$E$6:$E$37,"&gt;="&amp;H$4)</f>
        <v>4</v>
      </c>
      <c r="I6" s="47" t="n">
        <f aca="false">COUNTIFS('Programs &amp; Competition'!$D$6:$D$37,"&lt;="&amp;EOMONTH(I$4,0),'Programs &amp; Competition'!$E$6:$E$37,"&gt;="&amp;I$4)</f>
        <v>2</v>
      </c>
      <c r="J6" s="47" t="n">
        <f aca="false">COUNTIFS('Programs &amp; Competition'!$D$6:$D$37,"&lt;="&amp;EOMONTH(J$4,0),'Programs &amp; Competition'!$E$6:$E$37,"&gt;="&amp;J$4)</f>
        <v>2</v>
      </c>
      <c r="K6" s="47" t="n">
        <f aca="false">COUNTIFS('Programs &amp; Competition'!$D$6:$D$37,"&lt;="&amp;EOMONTH(K$4,0),'Programs &amp; Competition'!$E$6:$E$37,"&gt;="&amp;K$4)</f>
        <v>4</v>
      </c>
      <c r="L6" s="47" t="n">
        <f aca="false">COUNTIFS('Programs &amp; Competition'!$D$6:$D$37,"&lt;="&amp;EOMONTH(L$4,0),'Programs &amp; Competition'!$E$6:$E$37,"&gt;="&amp;L$4)</f>
        <v>2</v>
      </c>
      <c r="M6" s="47" t="n">
        <f aca="false">COUNTIFS('Programs &amp; Competition'!$D$6:$D$37,"&lt;="&amp;EOMONTH(M$4,0),'Programs &amp; Competition'!$E$6:$E$37,"&gt;="&amp;M$4)</f>
        <v>4</v>
      </c>
      <c r="N6" s="47" t="n">
        <f aca="false">COUNTIFS('Programs &amp; Competition'!$D$6:$D$37,"&lt;="&amp;EOMONTH(N$4,0),'Programs &amp; Competition'!$E$6:$E$37,"&gt;="&amp;N$4)</f>
        <v>7</v>
      </c>
      <c r="O6" s="47" t="n">
        <f aca="false">COUNTIFS('Programs &amp; Competition'!$D$6:$D$37,"&lt;="&amp;EOMONTH(O$4,0),'Programs &amp; Competition'!$E$6:$E$37,"&gt;="&amp;O$4)</f>
        <v>2</v>
      </c>
      <c r="P6" s="47" t="n">
        <f aca="false">COUNTIFS('Programs &amp; Competition'!$D$6:$D$37,"&lt;="&amp;EOMONTH(P$4,0),'Programs &amp; Competition'!$E$6:$E$37,"&gt;="&amp;P$4)</f>
        <v>6</v>
      </c>
      <c r="Q6" s="47" t="n">
        <f aca="false">COUNTIFS('Programs &amp; Competition'!$D$6:$D$37,"&lt;="&amp;EOMONTH(Q$4,0),'Programs &amp; Competition'!$E$6:$E$37,"&gt;="&amp;Q$4)</f>
        <v>1</v>
      </c>
    </row>
    <row r="7" customFormat="false" ht="27.75" hidden="false" customHeight="true" outlineLevel="0" collapsed="false">
      <c r="A7" s="45" t="s">
        <v>31</v>
      </c>
      <c r="B7" s="46" t="s">
        <v>32</v>
      </c>
      <c r="C7" s="47" t="n">
        <f aca="false">COUNTIFS('Child Welfare &amp; Safeguarding'!$D$6:$D$30,"&lt;="&amp;EOMONTH(C$4,0),'Child Welfare &amp; Safeguarding'!$E$6:$E$30,"&gt;="&amp;C$4)</f>
        <v>1</v>
      </c>
      <c r="D7" s="47" t="n">
        <f aca="false">COUNTIFS('Child Welfare &amp; Safeguarding'!$D$6:$D$30,"&lt;="&amp;EOMONTH(D$4,0),'Child Welfare &amp; Safeguarding'!$E$6:$E$30,"&gt;="&amp;D$4)</f>
        <v>3</v>
      </c>
      <c r="E7" s="47" t="n">
        <f aca="false">COUNTIFS('Child Welfare &amp; Safeguarding'!$D$6:$D$30,"&lt;="&amp;EOMONTH(E$4,0),'Child Welfare &amp; Safeguarding'!$E$6:$E$30,"&gt;="&amp;E$4)</f>
        <v>3</v>
      </c>
      <c r="F7" s="47" t="n">
        <f aca="false">COUNTIFS('Child Welfare &amp; Safeguarding'!$D$6:$D$30,"&lt;="&amp;EOMONTH(F$4,0),'Child Welfare &amp; Safeguarding'!$E$6:$E$30,"&gt;="&amp;F$4)</f>
        <v>2</v>
      </c>
      <c r="G7" s="47" t="n">
        <f aca="false">COUNTIFS('Child Welfare &amp; Safeguarding'!$D$6:$D$30,"&lt;="&amp;EOMONTH(G$4,0),'Child Welfare &amp; Safeguarding'!$E$6:$E$30,"&gt;="&amp;G$4)</f>
        <v>1</v>
      </c>
      <c r="H7" s="47" t="n">
        <f aca="false">COUNTIFS('Child Welfare &amp; Safeguarding'!$D$6:$D$30,"&lt;="&amp;EOMONTH(H$4,0),'Child Welfare &amp; Safeguarding'!$E$6:$E$30,"&gt;="&amp;H$4)</f>
        <v>2</v>
      </c>
      <c r="I7" s="47" t="n">
        <f aca="false">COUNTIFS('Child Welfare &amp; Safeguarding'!$D$6:$D$30,"&lt;="&amp;EOMONTH(I$4,0),'Child Welfare &amp; Safeguarding'!$E$6:$E$30,"&gt;="&amp;I$4)</f>
        <v>2</v>
      </c>
      <c r="J7" s="47" t="n">
        <f aca="false">COUNTIFS('Child Welfare &amp; Safeguarding'!$D$6:$D$30,"&lt;="&amp;EOMONTH(J$4,0),'Child Welfare &amp; Safeguarding'!$E$6:$E$30,"&gt;="&amp;J$4)</f>
        <v>3</v>
      </c>
      <c r="K7" s="47" t="n">
        <f aca="false">COUNTIFS('Child Welfare &amp; Safeguarding'!$D$6:$D$30,"&lt;="&amp;EOMONTH(K$4,0),'Child Welfare &amp; Safeguarding'!$E$6:$E$30,"&gt;="&amp;K$4)</f>
        <v>5</v>
      </c>
      <c r="L7" s="47" t="n">
        <f aca="false">COUNTIFS('Child Welfare &amp; Safeguarding'!$D$6:$D$30,"&lt;="&amp;EOMONTH(L$4,0),'Child Welfare &amp; Safeguarding'!$E$6:$E$30,"&gt;="&amp;L$4)</f>
        <v>4</v>
      </c>
      <c r="M7" s="47" t="n">
        <f aca="false">COUNTIFS('Child Welfare &amp; Safeguarding'!$D$6:$D$30,"&lt;="&amp;EOMONTH(M$4,0),'Child Welfare &amp; Safeguarding'!$E$6:$E$30,"&gt;="&amp;M$4)</f>
        <v>7</v>
      </c>
      <c r="N7" s="47" t="n">
        <f aca="false">COUNTIFS('Child Welfare &amp; Safeguarding'!$D$6:$D$30,"&lt;="&amp;EOMONTH(N$4,0),'Child Welfare &amp; Safeguarding'!$E$6:$E$30,"&gt;="&amp;N$4)</f>
        <v>5</v>
      </c>
      <c r="O7" s="47" t="n">
        <f aca="false">COUNTIFS('Child Welfare &amp; Safeguarding'!$D$6:$D$30,"&lt;="&amp;EOMONTH(O$4,0),'Child Welfare &amp; Safeguarding'!$E$6:$E$30,"&gt;="&amp;O$4)</f>
        <v>2</v>
      </c>
      <c r="P7" s="47" t="n">
        <f aca="false">COUNTIFS('Child Welfare &amp; Safeguarding'!$D$6:$D$30,"&lt;="&amp;EOMONTH(P$4,0),'Child Welfare &amp; Safeguarding'!$E$6:$E$30,"&gt;="&amp;P$4)</f>
        <v>3</v>
      </c>
      <c r="Q7" s="47" t="n">
        <f aca="false">COUNTIFS('Child Welfare &amp; Safeguarding'!$D$6:$D$30,"&lt;="&amp;EOMONTH(Q$4,0),'Child Welfare &amp; Safeguarding'!$E$6:$E$30,"&gt;="&amp;Q$4)</f>
        <v>1</v>
      </c>
    </row>
    <row r="8" customFormat="false" ht="27.75" hidden="false" customHeight="true" outlineLevel="0" collapsed="false">
      <c r="A8" s="45" t="s">
        <v>33</v>
      </c>
      <c r="B8" s="46" t="s">
        <v>32</v>
      </c>
      <c r="C8" s="47" t="n">
        <f aca="false">COUNTIFS('Event Operations'!$D$6:$D$35,"&lt;="&amp;EOMONTH(C$4,0),'Event Operations'!$E$6:$E$35,"&gt;="&amp;C$4)</f>
        <v>0</v>
      </c>
      <c r="D8" s="47" t="n">
        <f aca="false">COUNTIFS('Event Operations'!$D$6:$D$35,"&lt;="&amp;EOMONTH(D$4,0),'Event Operations'!$E$6:$E$35,"&gt;="&amp;D$4)</f>
        <v>1</v>
      </c>
      <c r="E8" s="47" t="n">
        <f aca="false">COUNTIFS('Event Operations'!$D$6:$D$35,"&lt;="&amp;EOMONTH(E$4,0),'Event Operations'!$E$6:$E$35,"&gt;="&amp;E$4)</f>
        <v>2</v>
      </c>
      <c r="F8" s="47" t="n">
        <f aca="false">COUNTIFS('Event Operations'!$D$6:$D$35,"&lt;="&amp;EOMONTH(F$4,0),'Event Operations'!$E$6:$E$35,"&gt;="&amp;F$4)</f>
        <v>2</v>
      </c>
      <c r="G8" s="47" t="n">
        <f aca="false">COUNTIFS('Event Operations'!$D$6:$D$35,"&lt;="&amp;EOMONTH(G$4,0),'Event Operations'!$E$6:$E$35,"&gt;="&amp;G$4)</f>
        <v>2</v>
      </c>
      <c r="H8" s="47" t="n">
        <f aca="false">COUNTIFS('Event Operations'!$D$6:$D$35,"&lt;="&amp;EOMONTH(H$4,0),'Event Operations'!$E$6:$E$35,"&gt;="&amp;H$4)</f>
        <v>1</v>
      </c>
      <c r="I8" s="47" t="n">
        <f aca="false">COUNTIFS('Event Operations'!$D$6:$D$35,"&lt;="&amp;EOMONTH(I$4,0),'Event Operations'!$E$6:$E$35,"&gt;="&amp;I$4)</f>
        <v>2</v>
      </c>
      <c r="J8" s="47" t="n">
        <f aca="false">COUNTIFS('Event Operations'!$D$6:$D$35,"&lt;="&amp;EOMONTH(J$4,0),'Event Operations'!$E$6:$E$35,"&gt;="&amp;J$4)</f>
        <v>4</v>
      </c>
      <c r="K8" s="47" t="n">
        <f aca="false">COUNTIFS('Event Operations'!$D$6:$D$35,"&lt;="&amp;EOMONTH(K$4,0),'Event Operations'!$E$6:$E$35,"&gt;="&amp;K$4)</f>
        <v>5</v>
      </c>
      <c r="L8" s="47" t="n">
        <f aca="false">COUNTIFS('Event Operations'!$D$6:$D$35,"&lt;="&amp;EOMONTH(L$4,0),'Event Operations'!$E$6:$E$35,"&gt;="&amp;L$4)</f>
        <v>5</v>
      </c>
      <c r="M8" s="47" t="n">
        <f aca="false">COUNTIFS('Event Operations'!$D$6:$D$35,"&lt;="&amp;EOMONTH(M$4,0),'Event Operations'!$E$6:$E$35,"&gt;="&amp;M$4)</f>
        <v>7</v>
      </c>
      <c r="N8" s="47" t="n">
        <f aca="false">COUNTIFS('Event Operations'!$D$6:$D$35,"&lt;="&amp;EOMONTH(N$4,0),'Event Operations'!$E$6:$E$35,"&gt;="&amp;N$4)</f>
        <v>7</v>
      </c>
      <c r="O8" s="47" t="n">
        <f aca="false">COUNTIFS('Event Operations'!$D$6:$D$35,"&lt;="&amp;EOMONTH(O$4,0),'Event Operations'!$E$6:$E$35,"&gt;="&amp;O$4)</f>
        <v>2</v>
      </c>
      <c r="P8" s="47" t="n">
        <f aca="false">COUNTIFS('Event Operations'!$D$6:$D$35,"&lt;="&amp;EOMONTH(P$4,0),'Event Operations'!$E$6:$E$35,"&gt;="&amp;P$4)</f>
        <v>6</v>
      </c>
      <c r="Q8" s="47" t="n">
        <f aca="false">COUNTIFS('Event Operations'!$D$6:$D$35,"&lt;="&amp;EOMONTH(Q$4,0),'Event Operations'!$E$6:$E$35,"&gt;="&amp;Q$4)</f>
        <v>1</v>
      </c>
    </row>
    <row r="9" customFormat="false" ht="27.75" hidden="false" customHeight="true" outlineLevel="0" collapsed="false">
      <c r="A9" s="45" t="s">
        <v>34</v>
      </c>
      <c r="B9" s="46" t="s">
        <v>32</v>
      </c>
      <c r="C9" s="47" t="n">
        <f aca="false">COUNTIFS('Media &amp; Communications'!$D$6:$D$37,"&lt;="&amp;EOMONTH(C$4,0),'Media &amp; Communications'!$E$6:$E$37,"&gt;="&amp;C$4)</f>
        <v>2</v>
      </c>
      <c r="D9" s="47" t="n">
        <f aca="false">COUNTIFS('Media &amp; Communications'!$D$6:$D$37,"&lt;="&amp;EOMONTH(D$4,0),'Media &amp; Communications'!$E$6:$E$37,"&gt;="&amp;D$4)</f>
        <v>7</v>
      </c>
      <c r="E9" s="47" t="n">
        <f aca="false">COUNTIFS('Media &amp; Communications'!$D$6:$D$37,"&lt;="&amp;EOMONTH(E$4,0),'Media &amp; Communications'!$E$6:$E$37,"&gt;="&amp;E$4)</f>
        <v>6</v>
      </c>
      <c r="F9" s="47" t="n">
        <f aca="false">COUNTIFS('Media &amp; Communications'!$D$6:$D$37,"&lt;="&amp;EOMONTH(F$4,0),'Media &amp; Communications'!$E$6:$E$37,"&gt;="&amp;F$4)</f>
        <v>5</v>
      </c>
      <c r="G9" s="47" t="n">
        <f aca="false">COUNTIFS('Media &amp; Communications'!$D$6:$D$37,"&lt;="&amp;EOMONTH(G$4,0),'Media &amp; Communications'!$E$6:$E$37,"&gt;="&amp;G$4)</f>
        <v>6</v>
      </c>
      <c r="H9" s="47" t="n">
        <f aca="false">COUNTIFS('Media &amp; Communications'!$D$6:$D$37,"&lt;="&amp;EOMONTH(H$4,0),'Media &amp; Communications'!$E$6:$E$37,"&gt;="&amp;H$4)</f>
        <v>4</v>
      </c>
      <c r="I9" s="47" t="n">
        <f aca="false">COUNTIFS('Media &amp; Communications'!$D$6:$D$37,"&lt;="&amp;EOMONTH(I$4,0),'Media &amp; Communications'!$E$6:$E$37,"&gt;="&amp;I$4)</f>
        <v>3</v>
      </c>
      <c r="J9" s="47" t="n">
        <f aca="false">COUNTIFS('Media &amp; Communications'!$D$6:$D$37,"&lt;="&amp;EOMONTH(J$4,0),'Media &amp; Communications'!$E$6:$E$37,"&gt;="&amp;J$4)</f>
        <v>4</v>
      </c>
      <c r="K9" s="47" t="n">
        <f aca="false">COUNTIFS('Media &amp; Communications'!$D$6:$D$37,"&lt;="&amp;EOMONTH(K$4,0),'Media &amp; Communications'!$E$6:$E$37,"&gt;="&amp;K$4)</f>
        <v>3</v>
      </c>
      <c r="L9" s="47" t="n">
        <f aca="false">COUNTIFS('Media &amp; Communications'!$D$6:$D$37,"&lt;="&amp;EOMONTH(L$4,0),'Media &amp; Communications'!$E$6:$E$37,"&gt;="&amp;L$4)</f>
        <v>4</v>
      </c>
      <c r="M9" s="47" t="n">
        <f aca="false">COUNTIFS('Media &amp; Communications'!$D$6:$D$37,"&lt;="&amp;EOMONTH(M$4,0),'Media &amp; Communications'!$E$6:$E$37,"&gt;="&amp;M$4)</f>
        <v>6</v>
      </c>
      <c r="N9" s="47" t="n">
        <f aca="false">COUNTIFS('Media &amp; Communications'!$D$6:$D$37,"&lt;="&amp;EOMONTH(N$4,0),'Media &amp; Communications'!$E$6:$E$37,"&gt;="&amp;N$4)</f>
        <v>8</v>
      </c>
      <c r="O9" s="47" t="n">
        <f aca="false">COUNTIFS('Media &amp; Communications'!$D$6:$D$37,"&lt;="&amp;EOMONTH(O$4,0),'Media &amp; Communications'!$E$6:$E$37,"&gt;="&amp;O$4)</f>
        <v>2</v>
      </c>
      <c r="P9" s="47" t="n">
        <f aca="false">COUNTIFS('Media &amp; Communications'!$D$6:$D$37,"&lt;="&amp;EOMONTH(P$4,0),'Media &amp; Communications'!$E$6:$E$37,"&gt;="&amp;P$4)</f>
        <v>6</v>
      </c>
      <c r="Q9" s="47" t="n">
        <f aca="false">COUNTIFS('Media &amp; Communications'!$D$6:$D$37,"&lt;="&amp;EOMONTH(Q$4,0),'Media &amp; Communications'!$E$6:$E$37,"&gt;="&amp;Q$4)</f>
        <v>1</v>
      </c>
    </row>
    <row r="10" customFormat="false" ht="27.75" hidden="false" customHeight="true" outlineLevel="0" collapsed="false">
      <c r="A10" s="45" t="s">
        <v>35</v>
      </c>
      <c r="B10" s="46" t="s">
        <v>32</v>
      </c>
      <c r="C10" s="47" t="n">
        <f aca="false">COUNTIFS('Partnerships &amp; Sponsorship'!$D$6:$D$38,"&lt;="&amp;EOMONTH(C$4,0),'Partnerships &amp; Sponsorship'!$E$6:$E$38,"&gt;="&amp;C$4)</f>
        <v>3</v>
      </c>
      <c r="D10" s="47" t="n">
        <f aca="false">COUNTIFS('Partnerships &amp; Sponsorship'!$D$6:$D$38,"&lt;="&amp;EOMONTH(D$4,0),'Partnerships &amp; Sponsorship'!$E$6:$E$38,"&gt;="&amp;D$4)</f>
        <v>6</v>
      </c>
      <c r="E10" s="47" t="n">
        <f aca="false">COUNTIFS('Partnerships &amp; Sponsorship'!$D$6:$D$38,"&lt;="&amp;EOMONTH(E$4,0),'Partnerships &amp; Sponsorship'!$E$6:$E$38,"&gt;="&amp;E$4)</f>
        <v>7</v>
      </c>
      <c r="F10" s="47" t="n">
        <f aca="false">COUNTIFS('Partnerships &amp; Sponsorship'!$D$6:$D$38,"&lt;="&amp;EOMONTH(F$4,0),'Partnerships &amp; Sponsorship'!$E$6:$E$38,"&gt;="&amp;F$4)</f>
        <v>7</v>
      </c>
      <c r="G10" s="47" t="n">
        <f aca="false">COUNTIFS('Partnerships &amp; Sponsorship'!$D$6:$D$38,"&lt;="&amp;EOMONTH(G$4,0),'Partnerships &amp; Sponsorship'!$E$6:$E$38,"&gt;="&amp;G$4)</f>
        <v>5</v>
      </c>
      <c r="H10" s="47" t="n">
        <f aca="false">COUNTIFS('Partnerships &amp; Sponsorship'!$D$6:$D$38,"&lt;="&amp;EOMONTH(H$4,0),'Partnerships &amp; Sponsorship'!$E$6:$E$38,"&gt;="&amp;H$4)</f>
        <v>6</v>
      </c>
      <c r="I10" s="47" t="n">
        <f aca="false">COUNTIFS('Partnerships &amp; Sponsorship'!$D$6:$D$38,"&lt;="&amp;EOMONTH(I$4,0),'Partnerships &amp; Sponsorship'!$E$6:$E$38,"&gt;="&amp;I$4)</f>
        <v>5</v>
      </c>
      <c r="J10" s="47" t="n">
        <f aca="false">COUNTIFS('Partnerships &amp; Sponsorship'!$D$6:$D$38,"&lt;="&amp;EOMONTH(J$4,0),'Partnerships &amp; Sponsorship'!$E$6:$E$38,"&gt;="&amp;J$4)</f>
        <v>5</v>
      </c>
      <c r="K10" s="47" t="n">
        <f aca="false">COUNTIFS('Partnerships &amp; Sponsorship'!$D$6:$D$38,"&lt;="&amp;EOMONTH(K$4,0),'Partnerships &amp; Sponsorship'!$E$6:$E$38,"&gt;="&amp;K$4)</f>
        <v>5</v>
      </c>
      <c r="L10" s="47" t="n">
        <f aca="false">COUNTIFS('Partnerships &amp; Sponsorship'!$D$6:$D$38,"&lt;="&amp;EOMONTH(L$4,0),'Partnerships &amp; Sponsorship'!$E$6:$E$38,"&gt;="&amp;L$4)</f>
        <v>3</v>
      </c>
      <c r="M10" s="47" t="n">
        <f aca="false">COUNTIFS('Partnerships &amp; Sponsorship'!$D$6:$D$38,"&lt;="&amp;EOMONTH(M$4,0),'Partnerships &amp; Sponsorship'!$E$6:$E$38,"&gt;="&amp;M$4)</f>
        <v>4</v>
      </c>
      <c r="N10" s="47" t="n">
        <f aca="false">COUNTIFS('Partnerships &amp; Sponsorship'!$D$6:$D$38,"&lt;="&amp;EOMONTH(N$4,0),'Partnerships &amp; Sponsorship'!$E$6:$E$38,"&gt;="&amp;N$4)</f>
        <v>3</v>
      </c>
      <c r="O10" s="47" t="n">
        <f aca="false">COUNTIFS('Partnerships &amp; Sponsorship'!$D$6:$D$38,"&lt;="&amp;EOMONTH(O$4,0),'Partnerships &amp; Sponsorship'!$E$6:$E$38,"&gt;="&amp;O$4)</f>
        <v>2</v>
      </c>
      <c r="P10" s="47" t="n">
        <f aca="false">COUNTIFS('Partnerships &amp; Sponsorship'!$D$6:$D$38,"&lt;="&amp;EOMONTH(P$4,0),'Partnerships &amp; Sponsorship'!$E$6:$E$38,"&gt;="&amp;P$4)</f>
        <v>2</v>
      </c>
      <c r="Q10" s="47" t="n">
        <f aca="false">COUNTIFS('Partnerships &amp; Sponsorship'!$D$6:$D$38,"&lt;="&amp;EOMONTH(Q$4,0),'Partnerships &amp; Sponsorship'!$E$6:$E$38,"&gt;="&amp;Q$4)</f>
        <v>1</v>
      </c>
    </row>
    <row r="11" customFormat="false" ht="27.75" hidden="false" customHeight="true" outlineLevel="0" collapsed="false">
      <c r="A11" s="45" t="s">
        <v>36</v>
      </c>
      <c r="B11" s="46" t="s">
        <v>32</v>
      </c>
      <c r="C11" s="47" t="n">
        <f aca="false">COUNTIFS('Academy &amp; Education'!$D$6:$D$27,"&lt;="&amp;EOMONTH(C$4,0),'Academy &amp; Education'!$E$6:$E$27,"&gt;="&amp;C$4)</f>
        <v>0</v>
      </c>
      <c r="D11" s="47" t="n">
        <f aca="false">COUNTIFS('Academy &amp; Education'!$D$6:$D$27,"&lt;="&amp;EOMONTH(D$4,0),'Academy &amp; Education'!$E$6:$E$27,"&gt;="&amp;D$4)</f>
        <v>3</v>
      </c>
      <c r="E11" s="47" t="n">
        <f aca="false">COUNTIFS('Academy &amp; Education'!$D$6:$D$27,"&lt;="&amp;EOMONTH(E$4,0),'Academy &amp; Education'!$E$6:$E$27,"&gt;="&amp;E$4)</f>
        <v>3</v>
      </c>
      <c r="F11" s="47" t="n">
        <f aca="false">COUNTIFS('Academy &amp; Education'!$D$6:$D$27,"&lt;="&amp;EOMONTH(F$4,0),'Academy &amp; Education'!$E$6:$E$27,"&gt;="&amp;F$4)</f>
        <v>3</v>
      </c>
      <c r="G11" s="47" t="n">
        <f aca="false">COUNTIFS('Academy &amp; Education'!$D$6:$D$27,"&lt;="&amp;EOMONTH(G$4,0),'Academy &amp; Education'!$E$6:$E$27,"&gt;="&amp;G$4)</f>
        <v>1</v>
      </c>
      <c r="H11" s="47" t="n">
        <f aca="false">COUNTIFS('Academy &amp; Education'!$D$6:$D$27,"&lt;="&amp;EOMONTH(H$4,0),'Academy &amp; Education'!$E$6:$E$27,"&gt;="&amp;H$4)</f>
        <v>2</v>
      </c>
      <c r="I11" s="47" t="n">
        <f aca="false">COUNTIFS('Academy &amp; Education'!$D$6:$D$27,"&lt;="&amp;EOMONTH(I$4,0),'Academy &amp; Education'!$E$6:$E$27,"&gt;="&amp;I$4)</f>
        <v>3</v>
      </c>
      <c r="J11" s="47" t="n">
        <f aca="false">COUNTIFS('Academy &amp; Education'!$D$6:$D$27,"&lt;="&amp;EOMONTH(J$4,0),'Academy &amp; Education'!$E$6:$E$27,"&gt;="&amp;J$4)</f>
        <v>3</v>
      </c>
      <c r="K11" s="47" t="n">
        <f aca="false">COUNTIFS('Academy &amp; Education'!$D$6:$D$27,"&lt;="&amp;EOMONTH(K$4,0),'Academy &amp; Education'!$E$6:$E$27,"&gt;="&amp;K$4)</f>
        <v>4</v>
      </c>
      <c r="L11" s="47" t="n">
        <f aca="false">COUNTIFS('Academy &amp; Education'!$D$6:$D$27,"&lt;="&amp;EOMONTH(L$4,0),'Academy &amp; Education'!$E$6:$E$27,"&gt;="&amp;L$4)</f>
        <v>4</v>
      </c>
      <c r="M11" s="47" t="n">
        <f aca="false">COUNTIFS('Academy &amp; Education'!$D$6:$D$27,"&lt;="&amp;EOMONTH(M$4,0),'Academy &amp; Education'!$E$6:$E$27,"&gt;="&amp;M$4)</f>
        <v>6</v>
      </c>
      <c r="N11" s="47" t="n">
        <f aca="false">COUNTIFS('Academy &amp; Education'!$D$6:$D$27,"&lt;="&amp;EOMONTH(N$4,0),'Academy &amp; Education'!$E$6:$E$27,"&gt;="&amp;N$4)</f>
        <v>4</v>
      </c>
      <c r="O11" s="47" t="n">
        <f aca="false">COUNTIFS('Academy &amp; Education'!$D$6:$D$27,"&lt;="&amp;EOMONTH(O$4,0),'Academy &amp; Education'!$E$6:$E$27,"&gt;="&amp;O$4)</f>
        <v>2</v>
      </c>
      <c r="P11" s="47" t="n">
        <f aca="false">COUNTIFS('Academy &amp; Education'!$D$6:$D$27,"&lt;="&amp;EOMONTH(P$4,0),'Academy &amp; Education'!$E$6:$E$27,"&gt;="&amp;P$4)</f>
        <v>2</v>
      </c>
      <c r="Q11" s="47" t="n">
        <f aca="false">COUNTIFS('Academy &amp; Education'!$D$6:$D$27,"&lt;="&amp;EOMONTH(Q$4,0),'Academy &amp; Education'!$E$6:$E$27,"&gt;="&amp;Q$4)</f>
        <v>2</v>
      </c>
    </row>
    <row r="12" customFormat="false" ht="27.75" hidden="false" customHeight="true" outlineLevel="0" collapsed="false">
      <c r="A12" s="45" t="s">
        <v>37</v>
      </c>
      <c r="B12" s="46" t="s">
        <v>38</v>
      </c>
      <c r="C12" s="47" t="n">
        <f aca="false">COUNTIFS('Finance &amp; Admin'!$D$6:$D$31,"&lt;="&amp;EOMONTH(C$4,0),'Finance &amp; Admin'!$E$6:$E$31,"&gt;="&amp;C$4)</f>
        <v>2</v>
      </c>
      <c r="D12" s="47" t="n">
        <f aca="false">COUNTIFS('Finance &amp; Admin'!$D$6:$D$31,"&lt;="&amp;EOMONTH(D$4,0),'Finance &amp; Admin'!$E$6:$E$31,"&gt;="&amp;D$4)</f>
        <v>6</v>
      </c>
      <c r="E12" s="47" t="n">
        <f aca="false">COUNTIFS('Finance &amp; Admin'!$D$6:$D$31,"&lt;="&amp;EOMONTH(E$4,0),'Finance &amp; Admin'!$E$6:$E$31,"&gt;="&amp;E$4)</f>
        <v>4</v>
      </c>
      <c r="F12" s="47" t="n">
        <f aca="false">COUNTIFS('Finance &amp; Admin'!$D$6:$D$31,"&lt;="&amp;EOMONTH(F$4,0),'Finance &amp; Admin'!$E$6:$E$31,"&gt;="&amp;F$4)</f>
        <v>4</v>
      </c>
      <c r="G12" s="47" t="n">
        <f aca="false">COUNTIFS('Finance &amp; Admin'!$D$6:$D$31,"&lt;="&amp;EOMONTH(G$4,0),'Finance &amp; Admin'!$E$6:$E$31,"&gt;="&amp;G$4)</f>
        <v>5</v>
      </c>
      <c r="H12" s="47" t="n">
        <f aca="false">COUNTIFS('Finance &amp; Admin'!$D$6:$D$31,"&lt;="&amp;EOMONTH(H$4,0),'Finance &amp; Admin'!$E$6:$E$31,"&gt;="&amp;H$4)</f>
        <v>5</v>
      </c>
      <c r="I12" s="47" t="n">
        <f aca="false">COUNTIFS('Finance &amp; Admin'!$D$6:$D$31,"&lt;="&amp;EOMONTH(I$4,0),'Finance &amp; Admin'!$E$6:$E$31,"&gt;="&amp;I$4)</f>
        <v>4</v>
      </c>
      <c r="J12" s="47" t="n">
        <f aca="false">COUNTIFS('Finance &amp; Admin'!$D$6:$D$31,"&lt;="&amp;EOMONTH(J$4,0),'Finance &amp; Admin'!$E$6:$E$31,"&gt;="&amp;J$4)</f>
        <v>3</v>
      </c>
      <c r="K12" s="47" t="n">
        <f aca="false">COUNTIFS('Finance &amp; Admin'!$D$6:$D$31,"&lt;="&amp;EOMONTH(K$4,0),'Finance &amp; Admin'!$E$6:$E$31,"&gt;="&amp;K$4)</f>
        <v>3</v>
      </c>
      <c r="L12" s="47" t="n">
        <f aca="false">COUNTIFS('Finance &amp; Admin'!$D$6:$D$31,"&lt;="&amp;EOMONTH(L$4,0),'Finance &amp; Admin'!$E$6:$E$31,"&gt;="&amp;L$4)</f>
        <v>2</v>
      </c>
      <c r="M12" s="47" t="n">
        <f aca="false">COUNTIFS('Finance &amp; Admin'!$D$6:$D$31,"&lt;="&amp;EOMONTH(M$4,0),'Finance &amp; Admin'!$E$6:$E$31,"&gt;="&amp;M$4)</f>
        <v>3</v>
      </c>
      <c r="N12" s="47" t="n">
        <f aca="false">COUNTIFS('Finance &amp; Admin'!$D$6:$D$31,"&lt;="&amp;EOMONTH(N$4,0),'Finance &amp; Admin'!$E$6:$E$31,"&gt;="&amp;N$4)</f>
        <v>4</v>
      </c>
      <c r="O12" s="47" t="n">
        <f aca="false">COUNTIFS('Finance &amp; Admin'!$D$6:$D$31,"&lt;="&amp;EOMONTH(O$4,0),'Finance &amp; Admin'!$E$6:$E$31,"&gt;="&amp;O$4)</f>
        <v>1</v>
      </c>
      <c r="P12" s="47" t="n">
        <f aca="false">COUNTIFS('Finance &amp; Admin'!$D$6:$D$31,"&lt;="&amp;EOMONTH(P$4,0),'Finance &amp; Admin'!$E$6:$E$31,"&gt;="&amp;P$4)</f>
        <v>3</v>
      </c>
      <c r="Q12" s="47" t="n">
        <f aca="false">COUNTIFS('Finance &amp; Admin'!$D$6:$D$31,"&lt;="&amp;EOMONTH(Q$4,0),'Finance &amp; Admin'!$E$6:$E$31,"&gt;="&amp;Q$4)</f>
        <v>3</v>
      </c>
    </row>
    <row r="13" customFormat="false" ht="27.75" hidden="false" customHeight="true" outlineLevel="0" collapsed="false">
      <c r="A13" s="45" t="s">
        <v>39</v>
      </c>
      <c r="B13" s="46" t="s">
        <v>32</v>
      </c>
      <c r="C13" s="47" t="n">
        <f aca="false">COUNTIFS(Technology!$D$6:$D$34,"&lt;="&amp;EOMONTH(C$4,0),Technology!$E$6:$E$34,"&gt;="&amp;C$4)</f>
        <v>1</v>
      </c>
      <c r="D13" s="47" t="n">
        <f aca="false">COUNTIFS(Technology!$D$6:$D$34,"&lt;="&amp;EOMONTH(D$4,0),Technology!$E$6:$E$34,"&gt;="&amp;D$4)</f>
        <v>3</v>
      </c>
      <c r="E13" s="47" t="n">
        <f aca="false">COUNTIFS(Technology!$D$6:$D$34,"&lt;="&amp;EOMONTH(E$4,0),Technology!$E$6:$E$34,"&gt;="&amp;E$4)</f>
        <v>2</v>
      </c>
      <c r="F13" s="47" t="n">
        <f aca="false">COUNTIFS(Technology!$D$6:$D$34,"&lt;="&amp;EOMONTH(F$4,0),Technology!$E$6:$E$34,"&gt;="&amp;F$4)</f>
        <v>4</v>
      </c>
      <c r="G13" s="47" t="n">
        <f aca="false">COUNTIFS(Technology!$D$6:$D$34,"&lt;="&amp;EOMONTH(G$4,0),Technology!$E$6:$E$34,"&gt;="&amp;G$4)</f>
        <v>5</v>
      </c>
      <c r="H13" s="47" t="n">
        <f aca="false">COUNTIFS(Technology!$D$6:$D$34,"&lt;="&amp;EOMONTH(H$4,0),Technology!$E$6:$E$34,"&gt;="&amp;H$4)</f>
        <v>6</v>
      </c>
      <c r="I13" s="47" t="n">
        <f aca="false">COUNTIFS(Technology!$D$6:$D$34,"&lt;="&amp;EOMONTH(I$4,0),Technology!$E$6:$E$34,"&gt;="&amp;I$4)</f>
        <v>7</v>
      </c>
      <c r="J13" s="47" t="n">
        <f aca="false">COUNTIFS(Technology!$D$6:$D$34,"&lt;="&amp;EOMONTH(J$4,0),Technology!$E$6:$E$34,"&gt;="&amp;J$4)</f>
        <v>7</v>
      </c>
      <c r="K13" s="47" t="n">
        <f aca="false">COUNTIFS(Technology!$D$6:$D$34,"&lt;="&amp;EOMONTH(K$4,0),Technology!$E$6:$E$34,"&gt;="&amp;K$4)</f>
        <v>8</v>
      </c>
      <c r="L13" s="47" t="n">
        <f aca="false">COUNTIFS(Technology!$D$6:$D$34,"&lt;="&amp;EOMONTH(L$4,0),Technology!$E$6:$E$34,"&gt;="&amp;L$4)</f>
        <v>4</v>
      </c>
      <c r="M13" s="47" t="n">
        <f aca="false">COUNTIFS(Technology!$D$6:$D$34,"&lt;="&amp;EOMONTH(M$4,0),Technology!$E$6:$E$34,"&gt;="&amp;M$4)</f>
        <v>4</v>
      </c>
      <c r="N13" s="47" t="n">
        <f aca="false">COUNTIFS(Technology!$D$6:$D$34,"&lt;="&amp;EOMONTH(N$4,0),Technology!$E$6:$E$34,"&gt;="&amp;N$4)</f>
        <v>4</v>
      </c>
      <c r="O13" s="47" t="n">
        <f aca="false">COUNTIFS(Technology!$D$6:$D$34,"&lt;="&amp;EOMONTH(O$4,0),Technology!$E$6:$E$34,"&gt;="&amp;O$4)</f>
        <v>2</v>
      </c>
      <c r="P13" s="47" t="n">
        <f aca="false">COUNTIFS(Technology!$D$6:$D$34,"&lt;="&amp;EOMONTH(P$4,0),Technology!$E$6:$E$34,"&gt;="&amp;P$4)</f>
        <v>5</v>
      </c>
      <c r="Q13" s="47" t="n">
        <f aca="false">COUNTIFS(Technology!$D$6:$D$34,"&lt;="&amp;EOMONTH(Q$4,0),Technology!$E$6:$E$34,"&gt;="&amp;Q$4)</f>
        <v>1</v>
      </c>
    </row>
    <row r="14" customFormat="false" ht="27.75" hidden="false" customHeight="true" outlineLevel="0" collapsed="false">
      <c r="A14" s="45" t="s">
        <v>40</v>
      </c>
      <c r="B14" s="46" t="s">
        <v>41</v>
      </c>
      <c r="C14" s="47" t="n">
        <f aca="false">COUNTIFS('International &amp; Diplomacy'!$D$6:$D$27,"&lt;="&amp;EOMONTH(C$4,0),'International &amp; Diplomacy'!$E$6:$E$27,"&gt;="&amp;C$4)</f>
        <v>1</v>
      </c>
      <c r="D14" s="47" t="n">
        <f aca="false">COUNTIFS('International &amp; Diplomacy'!$D$6:$D$27,"&lt;="&amp;EOMONTH(D$4,0),'International &amp; Diplomacy'!$E$6:$E$27,"&gt;="&amp;D$4)</f>
        <v>2</v>
      </c>
      <c r="E14" s="47" t="n">
        <f aca="false">COUNTIFS('International &amp; Diplomacy'!$D$6:$D$27,"&lt;="&amp;EOMONTH(E$4,0),'International &amp; Diplomacy'!$E$6:$E$27,"&gt;="&amp;E$4)</f>
        <v>2</v>
      </c>
      <c r="F14" s="47" t="n">
        <f aca="false">COUNTIFS('International &amp; Diplomacy'!$D$6:$D$27,"&lt;="&amp;EOMONTH(F$4,0),'International &amp; Diplomacy'!$E$6:$E$27,"&gt;="&amp;F$4)</f>
        <v>5</v>
      </c>
      <c r="G14" s="47" t="n">
        <f aca="false">COUNTIFS('International &amp; Diplomacy'!$D$6:$D$27,"&lt;="&amp;EOMONTH(G$4,0),'International &amp; Diplomacy'!$E$6:$E$27,"&gt;="&amp;G$4)</f>
        <v>6</v>
      </c>
      <c r="H14" s="47" t="n">
        <f aca="false">COUNTIFS('International &amp; Diplomacy'!$D$6:$D$27,"&lt;="&amp;EOMONTH(H$4,0),'International &amp; Diplomacy'!$E$6:$E$27,"&gt;="&amp;H$4)</f>
        <v>4</v>
      </c>
      <c r="I14" s="47" t="n">
        <f aca="false">COUNTIFS('International &amp; Diplomacy'!$D$6:$D$27,"&lt;="&amp;EOMONTH(I$4,0),'International &amp; Diplomacy'!$E$6:$E$27,"&gt;="&amp;I$4)</f>
        <v>2</v>
      </c>
      <c r="J14" s="47" t="n">
        <f aca="false">COUNTIFS('International &amp; Diplomacy'!$D$6:$D$27,"&lt;="&amp;EOMONTH(J$4,0),'International &amp; Diplomacy'!$E$6:$E$27,"&gt;="&amp;J$4)</f>
        <v>2</v>
      </c>
      <c r="K14" s="47" t="n">
        <f aca="false">COUNTIFS('International &amp; Diplomacy'!$D$6:$D$27,"&lt;="&amp;EOMONTH(K$4,0),'International &amp; Diplomacy'!$E$6:$E$27,"&gt;="&amp;K$4)</f>
        <v>3</v>
      </c>
      <c r="L14" s="47" t="n">
        <f aca="false">COUNTIFS('International &amp; Diplomacy'!$D$6:$D$27,"&lt;="&amp;EOMONTH(L$4,0),'International &amp; Diplomacy'!$E$6:$E$27,"&gt;="&amp;L$4)</f>
        <v>2</v>
      </c>
      <c r="M14" s="47" t="n">
        <f aca="false">COUNTIFS('International &amp; Diplomacy'!$D$6:$D$27,"&lt;="&amp;EOMONTH(M$4,0),'International &amp; Diplomacy'!$E$6:$E$27,"&gt;="&amp;M$4)</f>
        <v>4</v>
      </c>
      <c r="N14" s="47" t="n">
        <f aca="false">COUNTIFS('International &amp; Diplomacy'!$D$6:$D$27,"&lt;="&amp;EOMONTH(N$4,0),'International &amp; Diplomacy'!$E$6:$E$27,"&gt;="&amp;N$4)</f>
        <v>4</v>
      </c>
      <c r="O14" s="47" t="n">
        <f aca="false">COUNTIFS('International &amp; Diplomacy'!$D$6:$D$27,"&lt;="&amp;EOMONTH(O$4,0),'International &amp; Diplomacy'!$E$6:$E$27,"&gt;="&amp;O$4)</f>
        <v>2</v>
      </c>
      <c r="P14" s="47" t="n">
        <f aca="false">COUNTIFS('International &amp; Diplomacy'!$D$6:$D$27,"&lt;="&amp;EOMONTH(P$4,0),'International &amp; Diplomacy'!$E$6:$E$27,"&gt;="&amp;P$4)</f>
        <v>4</v>
      </c>
      <c r="Q14" s="47" t="n">
        <f aca="false">COUNTIFS('International &amp; Diplomacy'!$D$6:$D$27,"&lt;="&amp;EOMONTH(Q$4,0),'International &amp; Diplomacy'!$E$6:$E$27,"&gt;="&amp;Q$4)</f>
        <v>1</v>
      </c>
    </row>
    <row r="15" customFormat="false" ht="21.75" hidden="false" customHeight="true" outlineLevel="0" collapsed="false">
      <c r="A15" s="48" t="s">
        <v>87</v>
      </c>
      <c r="B15" s="48"/>
      <c r="C15" s="49" t="str">
        <f aca="false">IF(AND(EventDate-27&lt;=EOMONTH(C$4,0),EventDate-1&gt;=C$4),"REVIEW","")</f>
        <v/>
      </c>
      <c r="D15" s="49" t="str">
        <f aca="false">IF(AND(EventDate-27&lt;=EOMONTH(D$4,0),EventDate-1&gt;=D$4),"REVIEW","")</f>
        <v/>
      </c>
      <c r="E15" s="49" t="str">
        <f aca="false">IF(AND(EventDate-27&lt;=EOMONTH(E$4,0),EventDate-1&gt;=E$4),"REVIEW","")</f>
        <v/>
      </c>
      <c r="F15" s="49" t="str">
        <f aca="false">IF(AND(EventDate-27&lt;=EOMONTH(F$4,0),EventDate-1&gt;=F$4),"REVIEW","")</f>
        <v/>
      </c>
      <c r="G15" s="49" t="str">
        <f aca="false">IF(AND(EventDate-27&lt;=EOMONTH(G$4,0),EventDate-1&gt;=G$4),"REVIEW","")</f>
        <v/>
      </c>
      <c r="H15" s="49" t="str">
        <f aca="false">IF(AND(EventDate-27&lt;=EOMONTH(H$4,0),EventDate-1&gt;=H$4),"REVIEW","")</f>
        <v/>
      </c>
      <c r="I15" s="49" t="str">
        <f aca="false">IF(AND(EventDate-27&lt;=EOMONTH(I$4,0),EventDate-1&gt;=I$4),"REVIEW","")</f>
        <v/>
      </c>
      <c r="J15" s="49" t="str">
        <f aca="false">IF(AND(EventDate-27&lt;=EOMONTH(J$4,0),EventDate-1&gt;=J$4),"REVIEW","")</f>
        <v/>
      </c>
      <c r="K15" s="49" t="str">
        <f aca="false">IF(AND(EventDate-27&lt;=EOMONTH(K$4,0),EventDate-1&gt;=K$4),"REVIEW","")</f>
        <v/>
      </c>
      <c r="L15" s="49" t="str">
        <f aca="false">IF(AND(EventDate-27&lt;=EOMONTH(L$4,0),EventDate-1&gt;=L$4),"REVIEW","")</f>
        <v/>
      </c>
      <c r="M15" s="49" t="str">
        <f aca="false">IF(AND(EventDate-27&lt;=EOMONTH(M$4,0),EventDate-1&gt;=M$4),"REVIEW","")</f>
        <v/>
      </c>
      <c r="N15" s="49" t="str">
        <f aca="false">IF(AND(EventDate-27&lt;=EOMONTH(N$4,0),EventDate-1&gt;=N$4),"REVIEW","")</f>
        <v/>
      </c>
      <c r="O15" s="49" t="str">
        <f aca="false">IF(AND(EventDate-27&lt;=EOMONTH(O$4,0),EventDate-1&gt;=O$4),"REVIEW","")</f>
        <v>REVIEW</v>
      </c>
      <c r="P15" s="49" t="str">
        <f aca="false">IF(AND(EventDate-27&lt;=EOMONTH(P$4,0),EventDate-1&gt;=P$4),"REVIEW","")</f>
        <v>REVIEW</v>
      </c>
      <c r="Q15" s="49" t="str">
        <f aca="false">IF(AND(EventDate-27&lt;=EOMONTH(Q$4,0),EventDate-1&gt;=Q$4),"REVIEW","")</f>
        <v/>
      </c>
    </row>
    <row r="16" customFormat="false" ht="21.75" hidden="false" customHeight="true" outlineLevel="0" collapsed="false">
      <c r="A16" s="48" t="s">
        <v>88</v>
      </c>
      <c r="B16" s="48"/>
      <c r="C16" s="49" t="str">
        <f aca="false">IF(AND(EventDate&gt;=C$4,EventDate&lt;=EOMONTH(C$4,0)),"EVENT","")</f>
        <v/>
      </c>
      <c r="D16" s="49" t="str">
        <f aca="false">IF(AND(EventDate&gt;=D$4,EventDate&lt;=EOMONTH(D$4,0)),"EVENT","")</f>
        <v/>
      </c>
      <c r="E16" s="49" t="str">
        <f aca="false">IF(AND(EventDate&gt;=E$4,EventDate&lt;=EOMONTH(E$4,0)),"EVENT","")</f>
        <v/>
      </c>
      <c r="F16" s="49" t="str">
        <f aca="false">IF(AND(EventDate&gt;=F$4,EventDate&lt;=EOMONTH(F$4,0)),"EVENT","")</f>
        <v/>
      </c>
      <c r="G16" s="49" t="str">
        <f aca="false">IF(AND(EventDate&gt;=G$4,EventDate&lt;=EOMONTH(G$4,0)),"EVENT","")</f>
        <v/>
      </c>
      <c r="H16" s="49" t="str">
        <f aca="false">IF(AND(EventDate&gt;=H$4,EventDate&lt;=EOMONTH(H$4,0)),"EVENT","")</f>
        <v/>
      </c>
      <c r="I16" s="49" t="str">
        <f aca="false">IF(AND(EventDate&gt;=I$4,EventDate&lt;=EOMONTH(I$4,0)),"EVENT","")</f>
        <v/>
      </c>
      <c r="J16" s="49" t="str">
        <f aca="false">IF(AND(EventDate&gt;=J$4,EventDate&lt;=EOMONTH(J$4,0)),"EVENT","")</f>
        <v/>
      </c>
      <c r="K16" s="49" t="str">
        <f aca="false">IF(AND(EventDate&gt;=K$4,EventDate&lt;=EOMONTH(K$4,0)),"EVENT","")</f>
        <v/>
      </c>
      <c r="L16" s="49" t="str">
        <f aca="false">IF(AND(EventDate&gt;=L$4,EventDate&lt;=EOMONTH(L$4,0)),"EVENT","")</f>
        <v/>
      </c>
      <c r="M16" s="49" t="str">
        <f aca="false">IF(AND(EventDate&gt;=M$4,EventDate&lt;=EOMONTH(M$4,0)),"EVENT","")</f>
        <v/>
      </c>
      <c r="N16" s="49" t="str">
        <f aca="false">IF(AND(EventDate&gt;=N$4,EventDate&lt;=EOMONTH(N$4,0)),"EVENT","")</f>
        <v/>
      </c>
      <c r="O16" s="49" t="str">
        <f aca="false">IF(AND(EventDate&gt;=O$4,EventDate&lt;=EOMONTH(O$4,0)),"EVENT","")</f>
        <v/>
      </c>
      <c r="P16" s="49" t="str">
        <f aca="false">IF(AND(EventDate&gt;=P$4,EventDate&lt;=EOMONTH(P$4,0)),"EVENT","")</f>
        <v>EVENT</v>
      </c>
      <c r="Q16" s="49" t="str">
        <f aca="false">IF(AND(EventDate&gt;=Q$4,EventDate&lt;=EOMONTH(Q$4,0)),"EVENT","")</f>
        <v/>
      </c>
    </row>
    <row r="17" customFormat="false" ht="21.75" hidden="false" customHeight="true" outlineLevel="0" collapsed="false">
      <c r="A17" s="48" t="s">
        <v>89</v>
      </c>
      <c r="B17" s="48"/>
      <c r="C17" s="49" t="str">
        <f aca="false">IF(AND(DATE(2027,3,31)&gt;=C$4,DATE(2027,3,31)&lt;=EOMONTH(C$4,0)),"GATE","")</f>
        <v/>
      </c>
      <c r="D17" s="49" t="str">
        <f aca="false">IF(AND(DATE(2027,3,31)&gt;=D$4,DATE(2027,3,31)&lt;=EOMONTH(D$4,0)),"GATE","")</f>
        <v/>
      </c>
      <c r="E17" s="49" t="str">
        <f aca="false">IF(AND(DATE(2027,3,31)&gt;=E$4,DATE(2027,3,31)&lt;=EOMONTH(E$4,0)),"GATE","")</f>
        <v/>
      </c>
      <c r="F17" s="49" t="str">
        <f aca="false">IF(AND(DATE(2027,3,31)&gt;=F$4,DATE(2027,3,31)&lt;=EOMONTH(F$4,0)),"GATE","")</f>
        <v/>
      </c>
      <c r="G17" s="49" t="str">
        <f aca="false">IF(AND(DATE(2027,3,31)&gt;=G$4,DATE(2027,3,31)&lt;=EOMONTH(G$4,0)),"GATE","")</f>
        <v/>
      </c>
      <c r="H17" s="49" t="str">
        <f aca="false">IF(AND(DATE(2027,3,31)&gt;=H$4,DATE(2027,3,31)&lt;=EOMONTH(H$4,0)),"GATE","")</f>
        <v>GATE</v>
      </c>
      <c r="I17" s="49" t="str">
        <f aca="false">IF(AND(DATE(2027,3,31)&gt;=I$4,DATE(2027,3,31)&lt;=EOMONTH(I$4,0)),"GATE","")</f>
        <v/>
      </c>
      <c r="J17" s="49" t="str">
        <f aca="false">IF(AND(DATE(2027,3,31)&gt;=J$4,DATE(2027,3,31)&lt;=EOMONTH(J$4,0)),"GATE","")</f>
        <v/>
      </c>
      <c r="K17" s="49" t="str">
        <f aca="false">IF(AND(DATE(2027,3,31)&gt;=K$4,DATE(2027,3,31)&lt;=EOMONTH(K$4,0)),"GATE","")</f>
        <v/>
      </c>
      <c r="L17" s="49" t="str">
        <f aca="false">IF(AND(DATE(2027,3,31)&gt;=L$4,DATE(2027,3,31)&lt;=EOMONTH(L$4,0)),"GATE","")</f>
        <v/>
      </c>
      <c r="M17" s="49" t="str">
        <f aca="false">IF(AND(DATE(2027,3,31)&gt;=M$4,DATE(2027,3,31)&lt;=EOMONTH(M$4,0)),"GATE","")</f>
        <v/>
      </c>
      <c r="N17" s="49" t="str">
        <f aca="false">IF(AND(DATE(2027,3,31)&gt;=N$4,DATE(2027,3,31)&lt;=EOMONTH(N$4,0)),"GATE","")</f>
        <v/>
      </c>
      <c r="O17" s="49" t="str">
        <f aca="false">IF(AND(DATE(2027,3,31)&gt;=O$4,DATE(2027,3,31)&lt;=EOMONTH(O$4,0)),"GATE","")</f>
        <v/>
      </c>
      <c r="P17" s="49" t="str">
        <f aca="false">IF(AND(DATE(2027,3,31)&gt;=P$4,DATE(2027,3,31)&lt;=EOMONTH(P$4,0)),"GATE","")</f>
        <v/>
      </c>
      <c r="Q17" s="49" t="str">
        <f aca="false">IF(AND(DATE(2027,3,31)&gt;=Q$4,DATE(2027,3,31)&lt;=EOMONTH(Q$4,0)),"GATE","")</f>
        <v/>
      </c>
    </row>
    <row r="19" customFormat="false" ht="30" hidden="false" customHeight="true" outlineLevel="0" collapsed="false">
      <c r="A19" s="50" t="s">
        <v>90</v>
      </c>
      <c r="B19" s="50"/>
      <c r="C19" s="50"/>
      <c r="D19" s="50"/>
      <c r="E19" s="50"/>
      <c r="F19" s="50"/>
      <c r="G19" s="50"/>
      <c r="H19" s="50"/>
      <c r="I19" s="50"/>
      <c r="J19" s="50"/>
      <c r="K19" s="50"/>
      <c r="L19" s="50"/>
      <c r="M19" s="50"/>
      <c r="N19" s="50"/>
      <c r="O19" s="50"/>
      <c r="P19" s="50"/>
      <c r="Q19" s="50"/>
    </row>
  </sheetData>
  <mergeCells count="3">
    <mergeCell ref="A1:Q1"/>
    <mergeCell ref="A2:Q2"/>
    <mergeCell ref="A19:Q19"/>
  </mergeCells>
  <conditionalFormatting sqref="C5:Q14">
    <cfRule type="colorScale" priority="2">
      <colorScale>
        <cfvo type="num" val="0"/>
        <cfvo type="num" val="4"/>
        <cfvo type="num" val="10"/>
        <color rgb="FFFFFFFF"/>
        <color rgb="FF9DC3E6"/>
        <color rgb="FF2F5597"/>
      </colorScale>
    </cfRule>
  </conditionalFormatting>
  <conditionalFormatting sqref="C15:Q15">
    <cfRule type="cellIs" priority="3" operator="equal" aboveAverage="0" equalAverage="0" bottom="0" percent="0" rank="0" text="" dxfId="1">
      <formula>"REVIEW"</formula>
    </cfRule>
  </conditionalFormatting>
  <conditionalFormatting sqref="C16:Q16">
    <cfRule type="cellIs" priority="4" operator="equal" aboveAverage="0" equalAverage="0" bottom="0" percent="0" rank="0" text="" dxfId="6">
      <formula>"EVENT"</formula>
    </cfRule>
  </conditionalFormatting>
  <conditionalFormatting sqref="C17:Q17">
    <cfRule type="cellIs" priority="5" operator="equal" aboveAverage="0" equalAverage="0" bottom="0" percent="0" rank="0" text="" dxfId="7">
      <formula>"GATE"</formula>
    </cfRule>
  </conditionalFormatting>
  <hyperlinks>
    <hyperlink ref="A5" location="'Office of the Founder'!A1" display="Office of the Founder"/>
    <hyperlink ref="A6" location="'Programs &amp; Competition'!A1" display="Programs &amp; Competition"/>
    <hyperlink ref="A7" location="'Child Welfare &amp; Safeguarding'!A1" display="Child Welfare &amp; Safeguarding"/>
    <hyperlink ref="A8" location="'Event Operations'!A1" display="Event Operations"/>
    <hyperlink ref="A9" location="'Media &amp; Communications'!A1" display="Media &amp; Communications"/>
    <hyperlink ref="A10" location="'Partnerships &amp; Sponsorship'!A1" display="Partnerships &amp; Sponsorship"/>
    <hyperlink ref="A11" location="'Academy &amp; Education'!A1" display="Academy &amp; Education"/>
    <hyperlink ref="A12" location="'Finance &amp; Admin'!A1" display="Finance &amp; Admin"/>
    <hyperlink ref="A13" location="'Technology'!A1" display="Technology"/>
    <hyperlink ref="A14" location="'International &amp; Diplomacy'!A1" display="International &amp; Diplomacy"/>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24A"/>
    <pageSetUpPr fitToPage="tru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15"/>
    <col collapsed="false" customWidth="true" hidden="false" outlineLevel="0" max="4" min="4" style="0" width="32"/>
    <col collapsed="false" customWidth="true" hidden="false" outlineLevel="0" max="5" min="5" style="0" width="14"/>
    <col collapsed="false" customWidth="true" hidden="false" outlineLevel="0" max="6" min="6" style="0" width="18"/>
    <col collapsed="false" customWidth="true" hidden="false" outlineLevel="0" max="7" min="7" style="0" width="70"/>
  </cols>
  <sheetData>
    <row r="1" customFormat="false" ht="27.75" hidden="false" customHeight="true" outlineLevel="0" collapsed="false">
      <c r="A1" s="42" t="s">
        <v>91</v>
      </c>
      <c r="B1" s="42"/>
      <c r="C1" s="42"/>
      <c r="D1" s="42"/>
      <c r="E1" s="42"/>
      <c r="F1" s="42"/>
      <c r="G1" s="42"/>
    </row>
    <row r="2" customFormat="false" ht="33.75" hidden="false" customHeight="true" outlineLevel="0" collapsed="false">
      <c r="A2" s="51" t="s">
        <v>92</v>
      </c>
      <c r="B2" s="51"/>
      <c r="C2" s="51"/>
      <c r="D2" s="51"/>
      <c r="E2" s="51"/>
      <c r="F2" s="51"/>
      <c r="G2" s="51"/>
    </row>
    <row r="4" customFormat="false" ht="23.85" hidden="false" customHeight="false" outlineLevel="0" collapsed="false">
      <c r="A4" s="10" t="s">
        <v>13</v>
      </c>
      <c r="B4" s="10" t="s">
        <v>93</v>
      </c>
      <c r="C4" s="10" t="s">
        <v>94</v>
      </c>
      <c r="D4" s="10" t="s">
        <v>95</v>
      </c>
      <c r="E4" s="10" t="s">
        <v>96</v>
      </c>
      <c r="F4" s="10" t="s">
        <v>97</v>
      </c>
      <c r="G4" s="10" t="s">
        <v>98</v>
      </c>
    </row>
    <row r="5" customFormat="false" ht="57.75" hidden="false" customHeight="true" outlineLevel="0" collapsed="false">
      <c r="A5" s="52" t="n">
        <v>1</v>
      </c>
      <c r="B5" s="53" t="s">
        <v>99</v>
      </c>
      <c r="C5" s="52" t="s">
        <v>100</v>
      </c>
      <c r="D5" s="54" t="s">
        <v>49</v>
      </c>
      <c r="E5" s="55" t="n">
        <v>46374</v>
      </c>
      <c r="F5" s="52" t="s">
        <v>101</v>
      </c>
      <c r="G5" s="53" t="s">
        <v>50</v>
      </c>
    </row>
    <row r="6" customFormat="false" ht="57.75" hidden="false" customHeight="true" outlineLevel="0" collapsed="false">
      <c r="A6" s="52" t="n">
        <v>2</v>
      </c>
      <c r="B6" s="53" t="s">
        <v>102</v>
      </c>
      <c r="C6" s="52" t="s">
        <v>103</v>
      </c>
      <c r="D6" s="54" t="s">
        <v>51</v>
      </c>
      <c r="E6" s="55" t="n">
        <v>46374</v>
      </c>
      <c r="F6" s="52" t="s">
        <v>104</v>
      </c>
      <c r="G6" s="53" t="s">
        <v>52</v>
      </c>
    </row>
    <row r="7" customFormat="false" ht="57.75" hidden="false" customHeight="true" outlineLevel="0" collapsed="false">
      <c r="A7" s="52" t="n">
        <v>3</v>
      </c>
      <c r="B7" s="53" t="s">
        <v>105</v>
      </c>
      <c r="C7" s="52" t="s">
        <v>103</v>
      </c>
      <c r="D7" s="54" t="s">
        <v>53</v>
      </c>
      <c r="E7" s="55" t="n">
        <f aca="false">EventDate-195</f>
        <v>46507</v>
      </c>
      <c r="F7" s="52" t="s">
        <v>106</v>
      </c>
      <c r="G7" s="53" t="s">
        <v>54</v>
      </c>
    </row>
    <row r="8" customFormat="false" ht="30.75" hidden="false" customHeight="true" outlineLevel="0" collapsed="false">
      <c r="A8" s="52" t="n">
        <v>4</v>
      </c>
      <c r="B8" s="53" t="s">
        <v>107</v>
      </c>
      <c r="C8" s="52" t="s">
        <v>103</v>
      </c>
      <c r="D8" s="54" t="s">
        <v>55</v>
      </c>
      <c r="E8" s="55" t="n">
        <v>46416</v>
      </c>
      <c r="F8" s="52" t="s">
        <v>108</v>
      </c>
      <c r="G8" s="53" t="s">
        <v>56</v>
      </c>
    </row>
    <row r="9" customFormat="false" ht="44.25" hidden="false" customHeight="true" outlineLevel="0" collapsed="false">
      <c r="A9" s="52" t="n">
        <v>5</v>
      </c>
      <c r="B9" s="53" t="s">
        <v>109</v>
      </c>
      <c r="C9" s="52" t="s">
        <v>110</v>
      </c>
      <c r="D9" s="54" t="s">
        <v>57</v>
      </c>
      <c r="E9" s="55" t="n">
        <v>46398</v>
      </c>
      <c r="F9" s="52" t="s">
        <v>111</v>
      </c>
      <c r="G9" s="53" t="s">
        <v>58</v>
      </c>
    </row>
    <row r="10" customFormat="false" ht="57.75" hidden="false" customHeight="true" outlineLevel="0" collapsed="false">
      <c r="A10" s="52" t="n">
        <v>6</v>
      </c>
      <c r="B10" s="53" t="s">
        <v>112</v>
      </c>
      <c r="C10" s="52" t="s">
        <v>113</v>
      </c>
      <c r="D10" s="54" t="s">
        <v>59</v>
      </c>
      <c r="E10" s="55" t="n">
        <v>46374</v>
      </c>
      <c r="F10" s="52" t="s">
        <v>114</v>
      </c>
      <c r="G10" s="53" t="s">
        <v>60</v>
      </c>
    </row>
    <row r="11" customFormat="false" ht="44.25" hidden="false" customHeight="true" outlineLevel="0" collapsed="false">
      <c r="A11" s="52" t="n">
        <v>7</v>
      </c>
      <c r="B11" s="53" t="s">
        <v>115</v>
      </c>
      <c r="C11" s="52" t="s">
        <v>116</v>
      </c>
      <c r="D11" s="54" t="s">
        <v>61</v>
      </c>
      <c r="E11" s="55" t="n">
        <f aca="false">EventDate-72</f>
        <v>46630</v>
      </c>
      <c r="F11" s="52" t="s">
        <v>117</v>
      </c>
      <c r="G11" s="53" t="s">
        <v>62</v>
      </c>
    </row>
    <row r="12" customFormat="false" ht="44.25" hidden="false" customHeight="true" outlineLevel="0" collapsed="false">
      <c r="A12" s="52" t="n">
        <v>8</v>
      </c>
      <c r="B12" s="53" t="s">
        <v>118</v>
      </c>
      <c r="C12" s="52" t="s">
        <v>119</v>
      </c>
      <c r="D12" s="54" t="s">
        <v>63</v>
      </c>
      <c r="E12" s="55" t="n">
        <v>46477</v>
      </c>
      <c r="F12" s="52" t="s">
        <v>120</v>
      </c>
      <c r="G12" s="53" t="s">
        <v>64</v>
      </c>
    </row>
    <row r="13" customFormat="false" ht="30.75" hidden="false" customHeight="true" outlineLevel="0" collapsed="false">
      <c r="A13" s="52" t="n">
        <v>9</v>
      </c>
      <c r="B13" s="53" t="s">
        <v>121</v>
      </c>
      <c r="C13" s="52" t="s">
        <v>122</v>
      </c>
      <c r="D13" s="54" t="s">
        <v>65</v>
      </c>
      <c r="E13" s="55" t="n">
        <f aca="false">EventDate-134</f>
        <v>46568</v>
      </c>
      <c r="F13" s="52" t="s">
        <v>123</v>
      </c>
      <c r="G13" s="53" t="s">
        <v>66</v>
      </c>
    </row>
    <row r="14" customFormat="false" ht="44.25" hidden="false" customHeight="true" outlineLevel="0" collapsed="false">
      <c r="A14" s="52" t="n">
        <v>10</v>
      </c>
      <c r="B14" s="53" t="s">
        <v>124</v>
      </c>
      <c r="C14" s="52" t="s">
        <v>125</v>
      </c>
      <c r="D14" s="54" t="s">
        <v>67</v>
      </c>
      <c r="E14" s="55" t="n">
        <f aca="false">EventDate-76</f>
        <v>46626</v>
      </c>
      <c r="F14" s="52" t="s">
        <v>126</v>
      </c>
      <c r="G14" s="53" t="s">
        <v>68</v>
      </c>
    </row>
    <row r="15" customFormat="false" ht="44.25" hidden="false" customHeight="true" outlineLevel="0" collapsed="false">
      <c r="A15" s="52" t="n">
        <v>11</v>
      </c>
      <c r="B15" s="53" t="s">
        <v>127</v>
      </c>
      <c r="C15" s="52" t="s">
        <v>128</v>
      </c>
      <c r="D15" s="54" t="s">
        <v>69</v>
      </c>
      <c r="E15" s="55" t="n">
        <f aca="false">EventDate-48</f>
        <v>46654</v>
      </c>
      <c r="F15" s="52" t="s">
        <v>129</v>
      </c>
      <c r="G15" s="53" t="s">
        <v>70</v>
      </c>
    </row>
    <row r="16" customFormat="false" ht="57.75" hidden="false" customHeight="true" outlineLevel="0" collapsed="false">
      <c r="A16" s="52" t="n">
        <v>12</v>
      </c>
      <c r="B16" s="53" t="s">
        <v>130</v>
      </c>
      <c r="C16" s="52" t="s">
        <v>131</v>
      </c>
      <c r="D16" s="54" t="s">
        <v>71</v>
      </c>
      <c r="E16" s="55" t="n">
        <f aca="false">EventDate-42</f>
        <v>46660</v>
      </c>
      <c r="F16" s="52" t="s">
        <v>129</v>
      </c>
      <c r="G16" s="53" t="s">
        <v>72</v>
      </c>
    </row>
    <row r="17" customFormat="false" ht="44.25" hidden="false" customHeight="true" outlineLevel="0" collapsed="false">
      <c r="A17" s="52" t="n">
        <v>13</v>
      </c>
      <c r="B17" s="53" t="s">
        <v>118</v>
      </c>
      <c r="C17" s="52" t="s">
        <v>119</v>
      </c>
      <c r="D17" s="54" t="s">
        <v>73</v>
      </c>
      <c r="E17" s="55" t="n">
        <f aca="false">EventDate-42</f>
        <v>46660</v>
      </c>
      <c r="F17" s="52" t="s">
        <v>120</v>
      </c>
      <c r="G17" s="53" t="s">
        <v>74</v>
      </c>
    </row>
    <row r="18" customFormat="false" ht="30.75" hidden="false" customHeight="true" outlineLevel="0" collapsed="false">
      <c r="A18" s="52" t="n">
        <v>14</v>
      </c>
      <c r="B18" s="53" t="s">
        <v>118</v>
      </c>
      <c r="C18" s="52" t="s">
        <v>119</v>
      </c>
      <c r="D18" s="54" t="s">
        <v>75</v>
      </c>
      <c r="E18" s="55" t="n">
        <f aca="false">EventDate-28</f>
        <v>46674</v>
      </c>
      <c r="F18" s="52" t="s">
        <v>120</v>
      </c>
      <c r="G18" s="53" t="s">
        <v>76</v>
      </c>
    </row>
    <row r="19" customFormat="false" ht="30.75" hidden="false" customHeight="true" outlineLevel="0" collapsed="false">
      <c r="A19" s="52" t="n">
        <v>15</v>
      </c>
      <c r="B19" s="53" t="s">
        <v>118</v>
      </c>
      <c r="C19" s="52" t="s">
        <v>119</v>
      </c>
      <c r="D19" s="54" t="s">
        <v>77</v>
      </c>
      <c r="E19" s="55" t="n">
        <f aca="false">EventDate-27</f>
        <v>46675</v>
      </c>
      <c r="F19" s="52" t="s">
        <v>120</v>
      </c>
      <c r="G19" s="53" t="s">
        <v>78</v>
      </c>
    </row>
    <row r="20" customFormat="false" ht="57.75" hidden="false" customHeight="true" outlineLevel="0" collapsed="false">
      <c r="A20" s="52" t="n">
        <v>16</v>
      </c>
      <c r="B20" s="53" t="s">
        <v>132</v>
      </c>
      <c r="C20" s="52" t="s">
        <v>133</v>
      </c>
      <c r="D20" s="54" t="s">
        <v>79</v>
      </c>
      <c r="E20" s="55" t="n">
        <f aca="false">EventDate</f>
        <v>46702</v>
      </c>
      <c r="F20" s="52" t="s">
        <v>134</v>
      </c>
      <c r="G20" s="53" t="s">
        <v>80</v>
      </c>
    </row>
    <row r="21" customFormat="false" ht="30.75" hidden="false" customHeight="true" outlineLevel="0" collapsed="false">
      <c r="A21" s="52" t="n">
        <v>17</v>
      </c>
      <c r="B21" s="53" t="s">
        <v>135</v>
      </c>
      <c r="C21" s="52" t="s">
        <v>136</v>
      </c>
      <c r="D21" s="54" t="s">
        <v>81</v>
      </c>
      <c r="E21" s="55" t="n">
        <f aca="false">EventDate+7</f>
        <v>46709</v>
      </c>
      <c r="F21" s="52" t="s">
        <v>134</v>
      </c>
      <c r="G21" s="53" t="s">
        <v>82</v>
      </c>
    </row>
    <row r="22" customFormat="false" ht="30.75" hidden="false" customHeight="true" outlineLevel="0" collapsed="false">
      <c r="A22" s="52" t="n">
        <v>18</v>
      </c>
      <c r="B22" s="53" t="s">
        <v>137</v>
      </c>
      <c r="C22" s="52" t="s">
        <v>138</v>
      </c>
      <c r="D22" s="54" t="s">
        <v>83</v>
      </c>
      <c r="E22" s="55" t="n">
        <f aca="false">EventDate+60</f>
        <v>46762</v>
      </c>
      <c r="F22" s="52" t="s">
        <v>134</v>
      </c>
      <c r="G22" s="53" t="s">
        <v>84</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A1:M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22"/>
    <col collapsed="false" customWidth="true" hidden="false" outlineLevel="0" max="4" min="4" style="0" width="12"/>
    <col collapsed="false" customWidth="true" hidden="false" outlineLevel="0" max="5" min="5" style="0" width="13"/>
    <col collapsed="false" customWidth="true" hidden="false" outlineLevel="0" max="7" min="6" style="0" width="12"/>
    <col collapsed="false" customWidth="true" hidden="false" outlineLevel="0" max="8" min="8" style="0" width="10"/>
    <col collapsed="false" customWidth="true" hidden="false" outlineLevel="0" max="10" min="9" style="0" width="8"/>
    <col collapsed="false" customWidth="true" hidden="false" outlineLevel="0" max="12" min="11" style="0" width="9"/>
    <col collapsed="false" customWidth="true" hidden="false" outlineLevel="0" max="13" min="13" style="0" width="62"/>
  </cols>
  <sheetData>
    <row r="1" customFormat="false" ht="27.75" hidden="false" customHeight="true" outlineLevel="0" collapsed="false">
      <c r="A1" s="42" t="s">
        <v>139</v>
      </c>
      <c r="B1" s="42"/>
      <c r="C1" s="42"/>
      <c r="D1" s="42"/>
      <c r="E1" s="42"/>
      <c r="F1" s="42"/>
      <c r="G1" s="42"/>
      <c r="H1" s="42"/>
      <c r="I1" s="42"/>
      <c r="J1" s="42"/>
      <c r="K1" s="42"/>
      <c r="L1" s="42"/>
      <c r="M1" s="42"/>
    </row>
    <row r="2" customFormat="false" ht="19.5" hidden="false" customHeight="true" outlineLevel="0" collapsed="false">
      <c r="A2" s="43" t="s">
        <v>86</v>
      </c>
      <c r="B2" s="43"/>
      <c r="C2" s="43"/>
      <c r="D2" s="43"/>
      <c r="E2" s="43"/>
      <c r="F2" s="43"/>
      <c r="G2" s="43"/>
      <c r="H2" s="43"/>
      <c r="I2" s="43"/>
      <c r="J2" s="43"/>
      <c r="K2" s="43"/>
      <c r="L2" s="43"/>
      <c r="M2" s="43"/>
    </row>
    <row r="3" customFormat="false" ht="19.5" hidden="false" customHeight="true" outlineLevel="0" collapsed="false">
      <c r="A3" s="56" t="s">
        <v>140</v>
      </c>
      <c r="B3" s="56"/>
      <c r="C3" s="56"/>
      <c r="D3" s="57" t="s">
        <v>16</v>
      </c>
      <c r="E3" s="57" t="n">
        <f aca="false">COUNT(A6:A26)</f>
        <v>16</v>
      </c>
      <c r="F3" s="57" t="s">
        <v>17</v>
      </c>
      <c r="G3" s="57" t="n">
        <f aca="false">COUNTIF(G6:G26,"Done")</f>
        <v>0</v>
      </c>
      <c r="H3" s="57" t="s">
        <v>19</v>
      </c>
      <c r="I3" s="57" t="n">
        <f aca="false">COUNTIF(L6:L26,"RED")</f>
        <v>0</v>
      </c>
      <c r="J3" s="57" t="s">
        <v>20</v>
      </c>
      <c r="K3" s="57" t="n">
        <f aca="false">COUNTIF(L6:L26,"AMBER")</f>
        <v>0</v>
      </c>
      <c r="L3" s="57" t="s">
        <v>141</v>
      </c>
      <c r="M3" s="58" t="str">
        <f aca="false" t="array" ref="M3:M3">IF(I3+K3=0,"Nothing behind schedule",_xlfn.TEXTJOIN(", ",TRUE(),IF((L6:L26="RED")+(L6:L26="AMBER"),"#"&amp;A6:A26,"")))</f>
        <v>Nothing behind schedule</v>
      </c>
    </row>
    <row r="4" customFormat="false" ht="25.5" hidden="false" customHeight="true" outlineLevel="0" collapsed="false">
      <c r="A4" s="59" t="s">
        <v>142</v>
      </c>
      <c r="B4" s="59"/>
      <c r="C4" s="59"/>
      <c r="D4" s="59"/>
      <c r="E4" s="59"/>
      <c r="F4" s="59"/>
      <c r="G4" s="59"/>
      <c r="H4" s="59"/>
      <c r="I4" s="59"/>
      <c r="J4" s="59"/>
      <c r="K4" s="59"/>
      <c r="L4" s="59"/>
      <c r="M4" s="59"/>
    </row>
    <row r="5" customFormat="false" ht="31.5" hidden="false" customHeight="true" outlineLevel="0" collapsed="false">
      <c r="A5" s="10" t="s">
        <v>143</v>
      </c>
      <c r="B5" s="10" t="s">
        <v>144</v>
      </c>
      <c r="C5" s="10" t="s">
        <v>145</v>
      </c>
      <c r="D5" s="10" t="s">
        <v>146</v>
      </c>
      <c r="E5" s="10" t="s">
        <v>147</v>
      </c>
      <c r="F5" s="10" t="s">
        <v>148</v>
      </c>
      <c r="G5" s="10" t="s">
        <v>23</v>
      </c>
      <c r="H5" s="10" t="s">
        <v>149</v>
      </c>
      <c r="I5" s="10" t="s">
        <v>150</v>
      </c>
      <c r="J5" s="10" t="s">
        <v>151</v>
      </c>
      <c r="K5" s="10" t="s">
        <v>152</v>
      </c>
      <c r="L5" s="10" t="s">
        <v>153</v>
      </c>
      <c r="M5" s="10" t="s">
        <v>154</v>
      </c>
    </row>
    <row r="6" customFormat="false" ht="18" hidden="false" customHeight="true" outlineLevel="0" collapsed="false">
      <c r="A6" s="60" t="s">
        <v>155</v>
      </c>
      <c r="B6" s="60"/>
      <c r="C6" s="60"/>
      <c r="D6" s="60"/>
      <c r="E6" s="60"/>
      <c r="F6" s="60"/>
      <c r="G6" s="60"/>
      <c r="H6" s="60"/>
      <c r="I6" s="60"/>
      <c r="J6" s="60"/>
      <c r="K6" s="60"/>
      <c r="L6" s="60"/>
      <c r="M6" s="60"/>
    </row>
    <row r="7" customFormat="false" ht="43.5" hidden="false" customHeight="true" outlineLevel="0" collapsed="false">
      <c r="A7" s="52" t="n">
        <v>1</v>
      </c>
      <c r="B7" s="53" t="s">
        <v>156</v>
      </c>
      <c r="C7" s="53" t="s">
        <v>28</v>
      </c>
      <c r="D7" s="55" t="n">
        <v>46321</v>
      </c>
      <c r="E7" s="55" t="n">
        <v>46332</v>
      </c>
      <c r="F7" s="55" t="n">
        <f aca="false">E7+14</f>
        <v>46346</v>
      </c>
      <c r="G7" s="52" t="s">
        <v>157</v>
      </c>
      <c r="H7" s="61" t="n">
        <v>0</v>
      </c>
      <c r="I7" s="52" t="n">
        <f aca="true">IF(E7="","",IF(G7="Done","Done",E7-TODAY()))</f>
        <v>11</v>
      </c>
      <c r="J7" s="61" t="n">
        <f aca="true">IF(OR(D7="",E7=""),"",IF(E7&gt;D7,MAX(0,MIN(1,(TODAY()-D7)/(E7-D7))),IF(TODAY()&gt;=E7,1,0)))</f>
        <v>0</v>
      </c>
      <c r="K7" s="52" t="n">
        <f aca="false">IF(J7="","",ROUND(J7*100-H7*100,0))</f>
        <v>0</v>
      </c>
      <c r="L7" s="62" t="str">
        <f aca="true">IF(OR(D7="",E7=""),"GREY",IF(G7="On hold","GREY",IF(G7="Done","GREEN",IF(E7&lt;TODAY(),"RED",IF(K7&gt;=30,"RED",IF(K7&gt;=15,"AMBER","GREEN"))))))</f>
        <v>GREEN</v>
      </c>
      <c r="M7" s="53" t="s">
        <v>158</v>
      </c>
    </row>
    <row r="8" customFormat="false" ht="30" hidden="false" customHeight="true" outlineLevel="0" collapsed="false">
      <c r="A8" s="52" t="n">
        <v>2</v>
      </c>
      <c r="B8" s="53" t="s">
        <v>159</v>
      </c>
      <c r="C8" s="53" t="s">
        <v>28</v>
      </c>
      <c r="D8" s="55" t="n">
        <v>46321</v>
      </c>
      <c r="E8" s="55" t="n">
        <v>46332</v>
      </c>
      <c r="F8" s="55" t="n">
        <f aca="false">E8+14</f>
        <v>46346</v>
      </c>
      <c r="G8" s="52" t="s">
        <v>157</v>
      </c>
      <c r="H8" s="61" t="n">
        <v>0</v>
      </c>
      <c r="I8" s="52" t="n">
        <f aca="true">IF(E8="","",IF(G8="Done","Done",E8-TODAY()))</f>
        <v>11</v>
      </c>
      <c r="J8" s="61" t="n">
        <f aca="true">IF(OR(D8="",E8=""),"",IF(E8&gt;D8,MAX(0,MIN(1,(TODAY()-D8)/(E8-D8))),IF(TODAY()&gt;=E8,1,0)))</f>
        <v>0</v>
      </c>
      <c r="K8" s="52" t="n">
        <f aca="false">IF(J8="","",ROUND(J8*100-H8*100,0))</f>
        <v>0</v>
      </c>
      <c r="L8" s="62" t="str">
        <f aca="true">IF(OR(D8="",E8=""),"GREY",IF(G8="On hold","GREY",IF(G8="Done","GREEN",IF(E8&lt;TODAY(),"RED",IF(K8&gt;=30,"RED",IF(K8&gt;=15,"AMBER","GREEN"))))))</f>
        <v>GREEN</v>
      </c>
      <c r="M8" s="53" t="s">
        <v>160</v>
      </c>
    </row>
    <row r="9" customFormat="false" ht="30" hidden="false" customHeight="true" outlineLevel="0" collapsed="false">
      <c r="A9" s="52" t="n">
        <v>3</v>
      </c>
      <c r="B9" s="53" t="s">
        <v>161</v>
      </c>
      <c r="C9" s="53" t="s">
        <v>28</v>
      </c>
      <c r="D9" s="55" t="n">
        <v>46321</v>
      </c>
      <c r="E9" s="55" t="n">
        <v>46346</v>
      </c>
      <c r="F9" s="55" t="n">
        <f aca="false">E9+14</f>
        <v>46360</v>
      </c>
      <c r="G9" s="52" t="s">
        <v>157</v>
      </c>
      <c r="H9" s="61" t="n">
        <v>0</v>
      </c>
      <c r="I9" s="52" t="n">
        <f aca="true">IF(E9="","",IF(G9="Done","Done",E9-TODAY()))</f>
        <v>25</v>
      </c>
      <c r="J9" s="61" t="n">
        <f aca="true">IF(OR(D9="",E9=""),"",IF(E9&gt;D9,MAX(0,MIN(1,(TODAY()-D9)/(E9-D9))),IF(TODAY()&gt;=E9,1,0)))</f>
        <v>0</v>
      </c>
      <c r="K9" s="52" t="n">
        <f aca="false">IF(J9="","",ROUND(J9*100-H9*100,0))</f>
        <v>0</v>
      </c>
      <c r="L9" s="62" t="str">
        <f aca="true">IF(OR(D9="",E9=""),"GREY",IF(G9="On hold","GREY",IF(G9="Done","GREEN",IF(E9&lt;TODAY(),"RED",IF(K9&gt;=30,"RED",IF(K9&gt;=15,"AMBER","GREEN"))))))</f>
        <v>GREEN</v>
      </c>
      <c r="M9" s="53" t="s">
        <v>162</v>
      </c>
    </row>
    <row r="10" customFormat="false" ht="30" hidden="false" customHeight="true" outlineLevel="0" collapsed="false">
      <c r="A10" s="52" t="n">
        <v>4</v>
      </c>
      <c r="B10" s="53" t="s">
        <v>163</v>
      </c>
      <c r="C10" s="53" t="s">
        <v>28</v>
      </c>
      <c r="D10" s="55" t="n">
        <v>46328</v>
      </c>
      <c r="E10" s="55" t="n">
        <v>46367</v>
      </c>
      <c r="F10" s="55" t="n">
        <f aca="false">E10+14</f>
        <v>46381</v>
      </c>
      <c r="G10" s="52" t="s">
        <v>157</v>
      </c>
      <c r="H10" s="61" t="n">
        <v>0</v>
      </c>
      <c r="I10" s="52" t="n">
        <f aca="true">IF(E10="","",IF(G10="Done","Done",E10-TODAY()))</f>
        <v>46</v>
      </c>
      <c r="J10" s="61" t="n">
        <f aca="true">IF(OR(D10="",E10=""),"",IF(E10&gt;D10,MAX(0,MIN(1,(TODAY()-D10)/(E10-D10))),IF(TODAY()&gt;=E10,1,0)))</f>
        <v>0</v>
      </c>
      <c r="K10" s="52" t="n">
        <f aca="false">IF(J10="","",ROUND(J10*100-H10*100,0))</f>
        <v>0</v>
      </c>
      <c r="L10" s="62" t="str">
        <f aca="true">IF(OR(D10="",E10=""),"GREY",IF(G10="On hold","GREY",IF(G10="Done","GREEN",IF(E10&lt;TODAY(),"RED",IF(K10&gt;=30,"RED",IF(K10&gt;=15,"AMBER","GREEN"))))))</f>
        <v>GREEN</v>
      </c>
      <c r="M10" s="53" t="s">
        <v>164</v>
      </c>
    </row>
    <row r="11" customFormat="false" ht="43.5" hidden="false" customHeight="true" outlineLevel="0" collapsed="false">
      <c r="A11" s="52" t="n">
        <v>5</v>
      </c>
      <c r="B11" s="53" t="s">
        <v>165</v>
      </c>
      <c r="C11" s="53" t="s">
        <v>28</v>
      </c>
      <c r="D11" s="55" t="n">
        <v>46328</v>
      </c>
      <c r="E11" s="55" t="n">
        <v>46374</v>
      </c>
      <c r="F11" s="55" t="n">
        <f aca="false">E11+14</f>
        <v>46388</v>
      </c>
      <c r="G11" s="52" t="s">
        <v>157</v>
      </c>
      <c r="H11" s="61" t="n">
        <v>0</v>
      </c>
      <c r="I11" s="52" t="n">
        <f aca="true">IF(E11="","",IF(G11="Done","Done",E11-TODAY()))</f>
        <v>53</v>
      </c>
      <c r="J11" s="61" t="n">
        <f aca="true">IF(OR(D11="",E11=""),"",IF(E11&gt;D11,MAX(0,MIN(1,(TODAY()-D11)/(E11-D11))),IF(TODAY()&gt;=E11,1,0)))</f>
        <v>0</v>
      </c>
      <c r="K11" s="52" t="n">
        <f aca="false">IF(J11="","",ROUND(J11*100-H11*100,0))</f>
        <v>0</v>
      </c>
      <c r="L11" s="62" t="str">
        <f aca="true">IF(OR(D11="",E11=""),"GREY",IF(G11="On hold","GREY",IF(G11="Done","GREEN",IF(E11&lt;TODAY(),"RED",IF(K11&gt;=30,"RED",IF(K11&gt;=15,"AMBER","GREEN"))))))</f>
        <v>GREEN</v>
      </c>
      <c r="M11" s="53" t="s">
        <v>166</v>
      </c>
    </row>
    <row r="12" customFormat="false" ht="30" hidden="false" customHeight="true" outlineLevel="0" collapsed="false">
      <c r="A12" s="52" t="n">
        <v>6</v>
      </c>
      <c r="B12" s="53" t="s">
        <v>167</v>
      </c>
      <c r="C12" s="53" t="s">
        <v>28</v>
      </c>
      <c r="D12" s="55" t="n">
        <v>46356</v>
      </c>
      <c r="E12" s="55" t="n">
        <f aca="false">EventDate-45</f>
        <v>46657</v>
      </c>
      <c r="F12" s="55" t="n">
        <f aca="false">E12+14</f>
        <v>46671</v>
      </c>
      <c r="G12" s="52" t="s">
        <v>157</v>
      </c>
      <c r="H12" s="61" t="n">
        <v>0</v>
      </c>
      <c r="I12" s="52" t="n">
        <f aca="true">IF(E12="","",IF(G12="Done","Done",E12-TODAY()))</f>
        <v>336</v>
      </c>
      <c r="J12" s="61" t="n">
        <f aca="true">IF(OR(D12="",E12=""),"",IF(E12&gt;D12,MAX(0,MIN(1,(TODAY()-D12)/(E12-D12))),IF(TODAY()&gt;=E12,1,0)))</f>
        <v>0</v>
      </c>
      <c r="K12" s="52" t="n">
        <f aca="false">IF(J12="","",ROUND(J12*100-H12*100,0))</f>
        <v>0</v>
      </c>
      <c r="L12" s="62" t="str">
        <f aca="true">IF(OR(D12="",E12=""),"GREY",IF(G12="On hold","GREY",IF(G12="Done","GREEN",IF(E12&lt;TODAY(),"RED",IF(K12&gt;=30,"RED",IF(K12&gt;=15,"AMBER","GREEN"))))))</f>
        <v>GREEN</v>
      </c>
      <c r="M12" s="53" t="s">
        <v>168</v>
      </c>
    </row>
    <row r="13" customFormat="false" ht="30" hidden="false" customHeight="true" outlineLevel="0" collapsed="false">
      <c r="A13" s="52" t="n">
        <v>7</v>
      </c>
      <c r="B13" s="53" t="s">
        <v>169</v>
      </c>
      <c r="C13" s="53" t="s">
        <v>28</v>
      </c>
      <c r="D13" s="55" t="n">
        <v>46357</v>
      </c>
      <c r="E13" s="55" t="n">
        <v>46395</v>
      </c>
      <c r="F13" s="55" t="n">
        <f aca="false">E13+14</f>
        <v>46409</v>
      </c>
      <c r="G13" s="52" t="s">
        <v>157</v>
      </c>
      <c r="H13" s="61" t="n">
        <v>0</v>
      </c>
      <c r="I13" s="52" t="n">
        <f aca="true">IF(E13="","",IF(G13="Done","Done",E13-TODAY()))</f>
        <v>74</v>
      </c>
      <c r="J13" s="61" t="n">
        <f aca="true">IF(OR(D13="",E13=""),"",IF(E13&gt;D13,MAX(0,MIN(1,(TODAY()-D13)/(E13-D13))),IF(TODAY()&gt;=E13,1,0)))</f>
        <v>0</v>
      </c>
      <c r="K13" s="52" t="n">
        <f aca="false">IF(J13="","",ROUND(J13*100-H13*100,0))</f>
        <v>0</v>
      </c>
      <c r="L13" s="62" t="str">
        <f aca="true">IF(OR(D13="",E13=""),"GREY",IF(G13="On hold","GREY",IF(G13="Done","GREEN",IF(E13&lt;TODAY(),"RED",IF(K13&gt;=30,"RED",IF(K13&gt;=15,"AMBER","GREEN"))))))</f>
        <v>GREEN</v>
      </c>
      <c r="M13" s="53" t="s">
        <v>170</v>
      </c>
    </row>
    <row r="14" customFormat="false" ht="18" hidden="false" customHeight="true" outlineLevel="0" collapsed="false">
      <c r="A14" s="60" t="s">
        <v>171</v>
      </c>
      <c r="B14" s="60"/>
      <c r="C14" s="60"/>
      <c r="D14" s="60"/>
      <c r="E14" s="60"/>
      <c r="F14" s="60"/>
      <c r="G14" s="60"/>
      <c r="H14" s="60"/>
      <c r="I14" s="60"/>
      <c r="J14" s="60"/>
      <c r="K14" s="60"/>
      <c r="L14" s="60"/>
      <c r="M14" s="60"/>
    </row>
    <row r="15" customFormat="false" ht="43.5" hidden="false" customHeight="true" outlineLevel="0" collapsed="false">
      <c r="A15" s="52" t="n">
        <v>8</v>
      </c>
      <c r="B15" s="53" t="s">
        <v>172</v>
      </c>
      <c r="C15" s="53" t="s">
        <v>28</v>
      </c>
      <c r="D15" s="55" t="n">
        <v>46391</v>
      </c>
      <c r="E15" s="55" t="n">
        <v>46477</v>
      </c>
      <c r="F15" s="55" t="n">
        <f aca="false">E15+14</f>
        <v>46491</v>
      </c>
      <c r="G15" s="52" t="s">
        <v>157</v>
      </c>
      <c r="H15" s="61" t="n">
        <v>0</v>
      </c>
      <c r="I15" s="52" t="n">
        <f aca="true">IF(E15="","",IF(G15="Done","Done",E15-TODAY()))</f>
        <v>156</v>
      </c>
      <c r="J15" s="61" t="n">
        <f aca="true">IF(OR(D15="",E15=""),"",IF(E15&gt;D15,MAX(0,MIN(1,(TODAY()-D15)/(E15-D15))),IF(TODAY()&gt;=E15,1,0)))</f>
        <v>0</v>
      </c>
      <c r="K15" s="52" t="n">
        <f aca="false">IF(J15="","",ROUND(J15*100-H15*100,0))</f>
        <v>0</v>
      </c>
      <c r="L15" s="62" t="str">
        <f aca="true">IF(OR(D15="",E15=""),"GREY",IF(G15="On hold","GREY",IF(G15="Done","GREEN",IF(E15&lt;TODAY(),"RED",IF(K15&gt;=30,"RED",IF(K15&gt;=15,"AMBER","GREEN"))))))</f>
        <v>GREEN</v>
      </c>
      <c r="M15" s="53" t="s">
        <v>173</v>
      </c>
    </row>
    <row r="16" customFormat="false" ht="30" hidden="false" customHeight="true" outlineLevel="0" collapsed="false">
      <c r="A16" s="52" t="n">
        <v>9</v>
      </c>
      <c r="B16" s="53" t="s">
        <v>174</v>
      </c>
      <c r="C16" s="53" t="s">
        <v>28</v>
      </c>
      <c r="D16" s="55" t="n">
        <v>46398</v>
      </c>
      <c r="E16" s="55" t="n">
        <f aca="false">EventDate-134</f>
        <v>46568</v>
      </c>
      <c r="F16" s="55" t="n">
        <f aca="false">E16+14</f>
        <v>46582</v>
      </c>
      <c r="G16" s="52" t="s">
        <v>157</v>
      </c>
      <c r="H16" s="61" t="n">
        <v>0</v>
      </c>
      <c r="I16" s="52" t="n">
        <f aca="true">IF(E16="","",IF(G16="Done","Done",E16-TODAY()))</f>
        <v>247</v>
      </c>
      <c r="J16" s="61" t="n">
        <f aca="true">IF(OR(D16="",E16=""),"",IF(E16&gt;D16,MAX(0,MIN(1,(TODAY()-D16)/(E16-D16))),IF(TODAY()&gt;=E16,1,0)))</f>
        <v>0</v>
      </c>
      <c r="K16" s="52" t="n">
        <f aca="false">IF(J16="","",ROUND(J16*100-H16*100,0))</f>
        <v>0</v>
      </c>
      <c r="L16" s="62" t="str">
        <f aca="true">IF(OR(D16="",E16=""),"GREY",IF(G16="On hold","GREY",IF(G16="Done","GREEN",IF(E16&lt;TODAY(),"RED",IF(K16&gt;=30,"RED",IF(K16&gt;=15,"AMBER","GREEN"))))))</f>
        <v>GREEN</v>
      </c>
      <c r="M16" s="53" t="s">
        <v>175</v>
      </c>
    </row>
    <row r="17" customFormat="false" ht="30" hidden="false" customHeight="true" outlineLevel="0" collapsed="false">
      <c r="A17" s="52" t="n">
        <v>10</v>
      </c>
      <c r="B17" s="53" t="s">
        <v>176</v>
      </c>
      <c r="C17" s="53" t="s">
        <v>177</v>
      </c>
      <c r="D17" s="55" t="n">
        <f aca="false">EventDate-163</f>
        <v>46539</v>
      </c>
      <c r="E17" s="55" t="n">
        <f aca="false">EventDate-76</f>
        <v>46626</v>
      </c>
      <c r="F17" s="55" t="n">
        <f aca="false">E17+14</f>
        <v>46640</v>
      </c>
      <c r="G17" s="52" t="s">
        <v>157</v>
      </c>
      <c r="H17" s="61" t="n">
        <v>0</v>
      </c>
      <c r="I17" s="52" t="n">
        <f aca="true">IF(E17="","",IF(G17="Done","Done",E17-TODAY()))</f>
        <v>305</v>
      </c>
      <c r="J17" s="61" t="n">
        <f aca="true">IF(OR(D17="",E17=""),"",IF(E17&gt;D17,MAX(0,MIN(1,(TODAY()-D17)/(E17-D17))),IF(TODAY()&gt;=E17,1,0)))</f>
        <v>0</v>
      </c>
      <c r="K17" s="52" t="n">
        <f aca="false">IF(J17="","",ROUND(J17*100-H17*100,0))</f>
        <v>0</v>
      </c>
      <c r="L17" s="62" t="str">
        <f aca="true">IF(OR(D17="",E17=""),"GREY",IF(G17="On hold","GREY",IF(G17="Done","GREEN",IF(E17&lt;TODAY(),"RED",IF(K17&gt;=30,"RED",IF(K17&gt;=15,"AMBER","GREEN"))))))</f>
        <v>GREEN</v>
      </c>
      <c r="M17" s="53" t="s">
        <v>178</v>
      </c>
    </row>
    <row r="18" customFormat="false" ht="18" hidden="false" customHeight="true" outlineLevel="0" collapsed="false">
      <c r="A18" s="60" t="s">
        <v>179</v>
      </c>
      <c r="B18" s="60"/>
      <c r="C18" s="60"/>
      <c r="D18" s="60"/>
      <c r="E18" s="60"/>
      <c r="F18" s="60"/>
      <c r="G18" s="60"/>
      <c r="H18" s="60"/>
      <c r="I18" s="60"/>
      <c r="J18" s="60"/>
      <c r="K18" s="60"/>
      <c r="L18" s="60"/>
      <c r="M18" s="60"/>
    </row>
    <row r="19" customFormat="false" ht="30" hidden="false" customHeight="true" outlineLevel="0" collapsed="false">
      <c r="A19" s="52" t="n">
        <v>11</v>
      </c>
      <c r="B19" s="53" t="s">
        <v>180</v>
      </c>
      <c r="C19" s="53" t="s">
        <v>181</v>
      </c>
      <c r="D19" s="55" t="n">
        <f aca="false">EventDate-101</f>
        <v>46601</v>
      </c>
      <c r="E19" s="55" t="n">
        <f aca="false">EventDate-62</f>
        <v>46640</v>
      </c>
      <c r="F19" s="55" t="n">
        <f aca="false">E19+14</f>
        <v>46654</v>
      </c>
      <c r="G19" s="52" t="s">
        <v>157</v>
      </c>
      <c r="H19" s="61" t="n">
        <v>0</v>
      </c>
      <c r="I19" s="52" t="n">
        <f aca="true">IF(E19="","",IF(G19="Done","Done",E19-TODAY()))</f>
        <v>319</v>
      </c>
      <c r="J19" s="61" t="n">
        <f aca="true">IF(OR(D19="",E19=""),"",IF(E19&gt;D19,MAX(0,MIN(1,(TODAY()-D19)/(E19-D19))),IF(TODAY()&gt;=E19,1,0)))</f>
        <v>0</v>
      </c>
      <c r="K19" s="52" t="n">
        <f aca="false">IF(J19="","",ROUND(J19*100-H19*100,0))</f>
        <v>0</v>
      </c>
      <c r="L19" s="62" t="str">
        <f aca="true">IF(OR(D19="",E19=""),"GREY",IF(G19="On hold","GREY",IF(G19="Done","GREEN",IF(E19&lt;TODAY(),"RED",IF(K19&gt;=30,"RED",IF(K19&gt;=15,"AMBER","GREEN"))))))</f>
        <v>GREEN</v>
      </c>
      <c r="M19" s="53" t="s">
        <v>182</v>
      </c>
    </row>
    <row r="20" customFormat="false" ht="30" hidden="false" customHeight="true" outlineLevel="0" collapsed="false">
      <c r="A20" s="52" t="n">
        <v>12</v>
      </c>
      <c r="B20" s="53" t="s">
        <v>183</v>
      </c>
      <c r="C20" s="53" t="s">
        <v>28</v>
      </c>
      <c r="D20" s="55" t="n">
        <f aca="false">EventDate-52</f>
        <v>46650</v>
      </c>
      <c r="E20" s="55" t="n">
        <f aca="false">EventDate-42</f>
        <v>46660</v>
      </c>
      <c r="F20" s="55" t="n">
        <f aca="false">E20+14</f>
        <v>46674</v>
      </c>
      <c r="G20" s="52" t="s">
        <v>157</v>
      </c>
      <c r="H20" s="61" t="n">
        <v>0</v>
      </c>
      <c r="I20" s="52" t="n">
        <f aca="true">IF(E20="","",IF(G20="Done","Done",E20-TODAY()))</f>
        <v>339</v>
      </c>
      <c r="J20" s="61" t="n">
        <f aca="true">IF(OR(D20="",E20=""),"",IF(E20&gt;D20,MAX(0,MIN(1,(TODAY()-D20)/(E20-D20))),IF(TODAY()&gt;=E20,1,0)))</f>
        <v>0</v>
      </c>
      <c r="K20" s="52" t="n">
        <f aca="false">IF(J20="","",ROUND(J20*100-H20*100,0))</f>
        <v>0</v>
      </c>
      <c r="L20" s="62" t="str">
        <f aca="true">IF(OR(D20="",E20=""),"GREY",IF(G20="On hold","GREY",IF(G20="Done","GREEN",IF(E20&lt;TODAY(),"RED",IF(K20&gt;=30,"RED",IF(K20&gt;=15,"AMBER","GREEN"))))))</f>
        <v>GREEN</v>
      </c>
      <c r="M20" s="53" t="s">
        <v>184</v>
      </c>
    </row>
    <row r="21" customFormat="false" ht="18" hidden="false" customHeight="true" outlineLevel="0" collapsed="false">
      <c r="A21" s="63" t="s">
        <v>185</v>
      </c>
      <c r="B21" s="63"/>
      <c r="C21" s="63"/>
      <c r="D21" s="63"/>
      <c r="E21" s="63"/>
      <c r="F21" s="63"/>
      <c r="G21" s="63"/>
      <c r="H21" s="63"/>
      <c r="I21" s="63"/>
      <c r="J21" s="63"/>
      <c r="K21" s="63"/>
      <c r="L21" s="63"/>
      <c r="M21" s="63"/>
    </row>
    <row r="22" customFormat="false" ht="16.5" hidden="false" customHeight="true" outlineLevel="0" collapsed="false">
      <c r="A22" s="64" t="n">
        <v>13</v>
      </c>
      <c r="B22" s="65" t="s">
        <v>186</v>
      </c>
      <c r="C22" s="65" t="s">
        <v>28</v>
      </c>
      <c r="D22" s="66" t="n">
        <f aca="false">EventDate-27</f>
        <v>46675</v>
      </c>
      <c r="E22" s="66" t="n">
        <f aca="false">EventDate-20</f>
        <v>46682</v>
      </c>
      <c r="F22" s="66" t="n">
        <f aca="false">E22</f>
        <v>46682</v>
      </c>
      <c r="G22" s="64" t="s">
        <v>157</v>
      </c>
      <c r="H22" s="67" t="n">
        <v>0</v>
      </c>
      <c r="I22" s="64" t="n">
        <f aca="true">IF(E22="","",IF(G22="Done","Done",E22-TODAY()))</f>
        <v>361</v>
      </c>
      <c r="J22" s="67" t="n">
        <f aca="true">IF(OR(D22="",E22=""),"",IF(E22&gt;D22,MAX(0,MIN(1,(TODAY()-D22)/(E22-D22))),IF(TODAY()&gt;=E22,1,0)))</f>
        <v>0</v>
      </c>
      <c r="K22" s="64" t="n">
        <f aca="false">IF(J22="","",ROUND(J22*100-H22*100,0))</f>
        <v>0</v>
      </c>
      <c r="L22" s="68" t="str">
        <f aca="true">IF(OR(D22="",E22=""),"GREY",IF(G22="On hold","GREY",IF(G22="Done","GREEN",IF(E22&lt;TODAY(),"RED",IF(K22&gt;=30,"RED",IF(K22&gt;=15,"AMBER","GREEN"))))))</f>
        <v>GREEN</v>
      </c>
      <c r="M22" s="65" t="s">
        <v>187</v>
      </c>
    </row>
    <row r="23" customFormat="false" ht="30" hidden="false" customHeight="true" outlineLevel="0" collapsed="false">
      <c r="A23" s="64" t="n">
        <v>14</v>
      </c>
      <c r="B23" s="65" t="s">
        <v>188</v>
      </c>
      <c r="C23" s="65" t="s">
        <v>177</v>
      </c>
      <c r="D23" s="66" t="n">
        <f aca="false">EventDate-17</f>
        <v>46685</v>
      </c>
      <c r="E23" s="66" t="n">
        <f aca="false">EventDate-6</f>
        <v>46696</v>
      </c>
      <c r="F23" s="66" t="n">
        <f aca="false">E23</f>
        <v>46696</v>
      </c>
      <c r="G23" s="64" t="s">
        <v>157</v>
      </c>
      <c r="H23" s="67" t="n">
        <v>0</v>
      </c>
      <c r="I23" s="64" t="n">
        <f aca="true">IF(E23="","",IF(G23="Done","Done",E23-TODAY()))</f>
        <v>375</v>
      </c>
      <c r="J23" s="67" t="n">
        <f aca="true">IF(OR(D23="",E23=""),"",IF(E23&gt;D23,MAX(0,MIN(1,(TODAY()-D23)/(E23-D23))),IF(TODAY()&gt;=E23,1,0)))</f>
        <v>0</v>
      </c>
      <c r="K23" s="64" t="n">
        <f aca="false">IF(J23="","",ROUND(J23*100-H23*100,0))</f>
        <v>0</v>
      </c>
      <c r="L23" s="68" t="str">
        <f aca="true">IF(OR(D23="",E23=""),"GREY",IF(G23="On hold","GREY",IF(G23="Done","GREEN",IF(E23&lt;TODAY(),"RED",IF(K23&gt;=30,"RED",IF(K23&gt;=15,"AMBER","GREEN"))))))</f>
        <v>GREEN</v>
      </c>
      <c r="M23" s="65" t="s">
        <v>189</v>
      </c>
    </row>
    <row r="24" customFormat="false" ht="18" hidden="false" customHeight="true" outlineLevel="0" collapsed="false">
      <c r="A24" s="60" t="s">
        <v>190</v>
      </c>
      <c r="B24" s="60"/>
      <c r="C24" s="60"/>
      <c r="D24" s="60"/>
      <c r="E24" s="60"/>
      <c r="F24" s="60"/>
      <c r="G24" s="60"/>
      <c r="H24" s="60"/>
      <c r="I24" s="60"/>
      <c r="J24" s="60"/>
      <c r="K24" s="60"/>
      <c r="L24" s="60"/>
      <c r="M24" s="60"/>
    </row>
    <row r="25" customFormat="false" ht="30" hidden="false" customHeight="true" outlineLevel="0" collapsed="false">
      <c r="A25" s="52" t="n">
        <v>15</v>
      </c>
      <c r="B25" s="53" t="s">
        <v>191</v>
      </c>
      <c r="C25" s="53" t="s">
        <v>28</v>
      </c>
      <c r="D25" s="55" t="n">
        <f aca="false">EventDate+1</f>
        <v>46703</v>
      </c>
      <c r="E25" s="55" t="n">
        <f aca="false">EventDate+8</f>
        <v>46710</v>
      </c>
      <c r="F25" s="55" t="n">
        <f aca="false">E25+14</f>
        <v>46724</v>
      </c>
      <c r="G25" s="52" t="s">
        <v>157</v>
      </c>
      <c r="H25" s="61" t="n">
        <v>0</v>
      </c>
      <c r="I25" s="52" t="n">
        <f aca="true">IF(E25="","",IF(G25="Done","Done",E25-TODAY()))</f>
        <v>389</v>
      </c>
      <c r="J25" s="61" t="n">
        <f aca="true">IF(OR(D25="",E25=""),"",IF(E25&gt;D25,MAX(0,MIN(1,(TODAY()-D25)/(E25-D25))),IF(TODAY()&gt;=E25,1,0)))</f>
        <v>0</v>
      </c>
      <c r="K25" s="52" t="n">
        <f aca="false">IF(J25="","",ROUND(J25*100-H25*100,0))</f>
        <v>0</v>
      </c>
      <c r="L25" s="62" t="str">
        <f aca="true">IF(OR(D25="",E25=""),"GREY",IF(G25="On hold","GREY",IF(G25="Done","GREEN",IF(E25&lt;TODAY(),"RED",IF(K25&gt;=30,"RED",IF(K25&gt;=15,"AMBER","GREEN"))))))</f>
        <v>GREEN</v>
      </c>
      <c r="M25" s="53" t="s">
        <v>192</v>
      </c>
    </row>
    <row r="26" customFormat="false" ht="30" hidden="false" customHeight="true" outlineLevel="0" collapsed="false">
      <c r="A26" s="52" t="n">
        <v>16</v>
      </c>
      <c r="B26" s="53" t="s">
        <v>193</v>
      </c>
      <c r="C26" s="53" t="s">
        <v>28</v>
      </c>
      <c r="D26" s="55" t="n">
        <f aca="false">EventDate+4</f>
        <v>46706</v>
      </c>
      <c r="E26" s="55" t="n">
        <f aca="false">EventDate+29</f>
        <v>46731</v>
      </c>
      <c r="F26" s="55" t="n">
        <f aca="false">E26+14</f>
        <v>46745</v>
      </c>
      <c r="G26" s="52" t="s">
        <v>157</v>
      </c>
      <c r="H26" s="61" t="n">
        <v>0</v>
      </c>
      <c r="I26" s="52" t="n">
        <f aca="true">IF(E26="","",IF(G26="Done","Done",E26-TODAY()))</f>
        <v>410</v>
      </c>
      <c r="J26" s="61" t="n">
        <f aca="true">IF(OR(D26="",E26=""),"",IF(E26&gt;D26,MAX(0,MIN(1,(TODAY()-D26)/(E26-D26))),IF(TODAY()&gt;=E26,1,0)))</f>
        <v>0</v>
      </c>
      <c r="K26" s="52" t="n">
        <f aca="false">IF(J26="","",ROUND(J26*100-H26*100,0))</f>
        <v>0</v>
      </c>
      <c r="L26" s="62" t="str">
        <f aca="true">IF(OR(D26="",E26=""),"GREY",IF(G26="On hold","GREY",IF(G26="Done","GREEN",IF(E26&lt;TODAY(),"RED",IF(K26&gt;=30,"RED",IF(K26&gt;=15,"AMBER","GREEN"))))))</f>
        <v>GREEN</v>
      </c>
      <c r="M26" s="53" t="s">
        <v>194</v>
      </c>
    </row>
  </sheetData>
  <mergeCells count="9">
    <mergeCell ref="A1:M1"/>
    <mergeCell ref="A2:M2"/>
    <mergeCell ref="A3:C3"/>
    <mergeCell ref="A4:M4"/>
    <mergeCell ref="A6:M6"/>
    <mergeCell ref="A14:M14"/>
    <mergeCell ref="A18:M18"/>
    <mergeCell ref="A21:M21"/>
    <mergeCell ref="A24:M24"/>
  </mergeCells>
  <conditionalFormatting sqref="L6:L26">
    <cfRule type="cellIs" priority="2" operator="equal" aboveAverage="0" equalAverage="0" bottom="0" percent="0" rank="0" text="" dxfId="0">
      <formula>"RED"</formula>
    </cfRule>
    <cfRule type="cellIs" priority="3" operator="equal" aboveAverage="0" equalAverage="0" bottom="0" percent="0" rank="0" text="" dxfId="8">
      <formula>"AMBER"</formula>
    </cfRule>
    <cfRule type="cellIs" priority="4" operator="equal" aboveAverage="0" equalAverage="0" bottom="0" percent="0" rank="0" text="" dxfId="9">
      <formula>"GREEN"</formula>
    </cfRule>
    <cfRule type="cellIs" priority="5" operator="equal" aboveAverage="0" equalAverage="0" bottom="0" percent="0" rank="0" text="" dxfId="10">
      <formula>"GREY"</formula>
    </cfRule>
  </conditionalFormatting>
  <conditionalFormatting sqref="G6:G26">
    <cfRule type="cellIs" priority="6" operator="equal" aboveAverage="0" equalAverage="0" bottom="0" percent="0" rank="0" text="" dxfId="3">
      <formula>"Done"</formula>
    </cfRule>
    <cfRule type="cellIs" priority="7" operator="equal" aboveAverage="0" equalAverage="0" bottom="0" percent="0" rank="0" text="" dxfId="11">
      <formula>"In progress"</formula>
    </cfRule>
    <cfRule type="cellIs" priority="8" operator="equal" aboveAverage="0" equalAverage="0" bottom="0" percent="0" rank="0" text="" dxfId="5">
      <formula>"Blocked"</formula>
    </cfRule>
    <cfRule type="cellIs" priority="9" operator="equal" aboveAverage="0" equalAverage="0" bottom="0" percent="0" rank="0" text="" dxfId="12">
      <formula>"On hold"</formula>
    </cfRule>
  </conditionalFormatting>
  <conditionalFormatting sqref="H6:H26">
    <cfRule type="colorScale" priority="10">
      <colorScale>
        <cfvo type="num" val="0"/>
        <cfvo type="num" val="1"/>
        <color rgb="FFFFFFFF"/>
        <color rgb="FFA9D08E"/>
      </colorScale>
    </cfRule>
  </conditionalFormatting>
  <conditionalFormatting sqref="M3">
    <cfRule type="expression" priority="11" aboveAverage="0" equalAverage="0" bottom="0" percent="0" rank="0" text="" dxfId="3">
      <formula>$I$3+$K$3=0</formula>
    </cfRule>
    <cfRule type="expression" priority="12" aboveAverage="0" equalAverage="0" bottom="0" percent="0" rank="0" text="" dxfId="5">
      <formula>$I$3+$K$3&gt;0</formula>
    </cfRule>
  </conditionalFormatting>
  <dataValidations count="2">
    <dataValidation allowBlank="false" error="Enter a value between 0% and 100%." errorStyle="stop" errorTitle="Progress" operator="between" showDropDown="false" showErrorMessage="false" showInputMessage="false" sqref="H6:H26" type="decimal">
      <formula1>0</formula1>
      <formula2>1</formula2>
    </dataValidation>
    <dataValidation allowBlank="false" errorStyle="stop" operator="between" showDropDown="false" showErrorMessage="false" showInputMessage="false" sqref="G6:G26" type="list">
      <formula1>"Not started,In progress,Done,Blocked,On hold"</formula1>
      <formula2>0</formula2>
    </dataValidation>
  </dataValidations>
  <printOptions headings="false" gridLines="false" gridLinesSet="true" horizontalCentered="false" verticalCentered="false"/>
  <pageMargins left="0.4" right="0.4" top="0.5" bottom="0.5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&amp;A  -  page &amp;P of &amp;N  -  PROPOSED date, subject to sponsor approval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M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22"/>
    <col collapsed="false" customWidth="true" hidden="false" outlineLevel="0" max="4" min="4" style="0" width="12"/>
    <col collapsed="false" customWidth="true" hidden="false" outlineLevel="0" max="5" min="5" style="0" width="13"/>
    <col collapsed="false" customWidth="true" hidden="false" outlineLevel="0" max="7" min="6" style="0" width="12"/>
    <col collapsed="false" customWidth="true" hidden="false" outlineLevel="0" max="8" min="8" style="0" width="10"/>
    <col collapsed="false" customWidth="true" hidden="false" outlineLevel="0" max="10" min="9" style="0" width="8"/>
    <col collapsed="false" customWidth="true" hidden="false" outlineLevel="0" max="12" min="11" style="0" width="9"/>
    <col collapsed="false" customWidth="true" hidden="false" outlineLevel="0" max="13" min="13" style="0" width="62"/>
  </cols>
  <sheetData>
    <row r="1" customFormat="false" ht="27.75" hidden="false" customHeight="true" outlineLevel="0" collapsed="false">
      <c r="A1" s="42" t="s">
        <v>195</v>
      </c>
      <c r="B1" s="42"/>
      <c r="C1" s="42"/>
      <c r="D1" s="42"/>
      <c r="E1" s="42"/>
      <c r="F1" s="42"/>
      <c r="G1" s="42"/>
      <c r="H1" s="42"/>
      <c r="I1" s="42"/>
      <c r="J1" s="42"/>
      <c r="K1" s="42"/>
      <c r="L1" s="42"/>
      <c r="M1" s="42"/>
    </row>
    <row r="2" customFormat="false" ht="19.5" hidden="false" customHeight="true" outlineLevel="0" collapsed="false">
      <c r="A2" s="43" t="s">
        <v>86</v>
      </c>
      <c r="B2" s="43"/>
      <c r="C2" s="43"/>
      <c r="D2" s="43"/>
      <c r="E2" s="43"/>
      <c r="F2" s="43"/>
      <c r="G2" s="43"/>
      <c r="H2" s="43"/>
      <c r="I2" s="43"/>
      <c r="J2" s="43"/>
      <c r="K2" s="43"/>
      <c r="L2" s="43"/>
      <c r="M2" s="43"/>
    </row>
    <row r="3" customFormat="false" ht="19.5" hidden="false" customHeight="true" outlineLevel="0" collapsed="false">
      <c r="A3" s="56" t="s">
        <v>196</v>
      </c>
      <c r="B3" s="56"/>
      <c r="C3" s="56"/>
      <c r="D3" s="57" t="s">
        <v>16</v>
      </c>
      <c r="E3" s="57" t="n">
        <f aca="false">COUNT(A6:A37)</f>
        <v>27</v>
      </c>
      <c r="F3" s="57" t="s">
        <v>17</v>
      </c>
      <c r="G3" s="57" t="n">
        <f aca="false">COUNTIF(G6:G37,"Done")</f>
        <v>0</v>
      </c>
      <c r="H3" s="57" t="s">
        <v>19</v>
      </c>
      <c r="I3" s="57" t="n">
        <f aca="false">COUNTIF(L6:L37,"RED")</f>
        <v>0</v>
      </c>
      <c r="J3" s="57" t="s">
        <v>20</v>
      </c>
      <c r="K3" s="57" t="n">
        <f aca="false">COUNTIF(L6:L37,"AMBER")</f>
        <v>0</v>
      </c>
      <c r="L3" s="57" t="s">
        <v>141</v>
      </c>
      <c r="M3" s="58" t="str">
        <f aca="false" t="array" ref="M3:M3">IF(I3+K3=0,"Nothing behind schedule",_xlfn.TEXTJOIN(", ",TRUE(),IF((L6:L37="RED")+(L6:L37="AMBER"),"#"&amp;A6:A37,"")))</f>
        <v>Nothing behind schedule</v>
      </c>
    </row>
    <row r="4" customFormat="false" ht="25.5" hidden="false" customHeight="true" outlineLevel="0" collapsed="false">
      <c r="A4" s="59" t="s">
        <v>142</v>
      </c>
      <c r="B4" s="59"/>
      <c r="C4" s="59"/>
      <c r="D4" s="59"/>
      <c r="E4" s="59"/>
      <c r="F4" s="59"/>
      <c r="G4" s="59"/>
      <c r="H4" s="59"/>
      <c r="I4" s="59"/>
      <c r="J4" s="59"/>
      <c r="K4" s="59"/>
      <c r="L4" s="59"/>
      <c r="M4" s="59"/>
    </row>
    <row r="5" customFormat="false" ht="31.5" hidden="false" customHeight="true" outlineLevel="0" collapsed="false">
      <c r="A5" s="10" t="s">
        <v>143</v>
      </c>
      <c r="B5" s="10" t="s">
        <v>144</v>
      </c>
      <c r="C5" s="10" t="s">
        <v>145</v>
      </c>
      <c r="D5" s="10" t="s">
        <v>146</v>
      </c>
      <c r="E5" s="10" t="s">
        <v>147</v>
      </c>
      <c r="F5" s="10" t="s">
        <v>148</v>
      </c>
      <c r="G5" s="10" t="s">
        <v>23</v>
      </c>
      <c r="H5" s="10" t="s">
        <v>149</v>
      </c>
      <c r="I5" s="10" t="s">
        <v>150</v>
      </c>
      <c r="J5" s="10" t="s">
        <v>151</v>
      </c>
      <c r="K5" s="10" t="s">
        <v>152</v>
      </c>
      <c r="L5" s="10" t="s">
        <v>153</v>
      </c>
      <c r="M5" s="10" t="s">
        <v>154</v>
      </c>
    </row>
    <row r="6" customFormat="false" ht="18" hidden="false" customHeight="true" outlineLevel="0" collapsed="false">
      <c r="A6" s="60" t="s">
        <v>155</v>
      </c>
      <c r="B6" s="60"/>
      <c r="C6" s="60"/>
      <c r="D6" s="60"/>
      <c r="E6" s="60"/>
      <c r="F6" s="60"/>
      <c r="G6" s="60"/>
      <c r="H6" s="60"/>
      <c r="I6" s="60"/>
      <c r="J6" s="60"/>
      <c r="K6" s="60"/>
      <c r="L6" s="60"/>
      <c r="M6" s="60"/>
    </row>
    <row r="7" customFormat="false" ht="43.5" hidden="false" customHeight="true" outlineLevel="0" collapsed="false">
      <c r="A7" s="52" t="n">
        <v>1</v>
      </c>
      <c r="B7" s="53" t="s">
        <v>197</v>
      </c>
      <c r="C7" s="53" t="s">
        <v>30</v>
      </c>
      <c r="D7" s="55" t="n">
        <v>46342</v>
      </c>
      <c r="E7" s="55" t="n">
        <f aca="false">EventDate-134</f>
        <v>46568</v>
      </c>
      <c r="F7" s="55" t="n">
        <f aca="false">E7+14</f>
        <v>46582</v>
      </c>
      <c r="G7" s="52" t="s">
        <v>157</v>
      </c>
      <c r="H7" s="61" t="n">
        <v>0</v>
      </c>
      <c r="I7" s="52" t="n">
        <f aca="true">IF(E7="","",IF(G7="Done","Done",E7-TODAY()))</f>
        <v>247</v>
      </c>
      <c r="J7" s="61" t="n">
        <f aca="true">IF(OR(D7="",E7=""),"",IF(E7&gt;D7,MAX(0,MIN(1,(TODAY()-D7)/(E7-D7))),IF(TODAY()&gt;=E7,1,0)))</f>
        <v>0</v>
      </c>
      <c r="K7" s="52" t="n">
        <f aca="false">IF(J7="","",ROUND(J7*100-H7*100,0))</f>
        <v>0</v>
      </c>
      <c r="L7" s="62" t="str">
        <f aca="true">IF(OR(D7="",E7=""),"GREY",IF(G7="On hold","GREY",IF(G7="Done","GREEN",IF(E7&lt;TODAY(),"RED",IF(K7&gt;=30,"RED",IF(K7&gt;=15,"AMBER","GREEN"))))))</f>
        <v>GREEN</v>
      </c>
      <c r="M7" s="53" t="s">
        <v>198</v>
      </c>
    </row>
    <row r="8" customFormat="false" ht="43.5" hidden="false" customHeight="true" outlineLevel="0" collapsed="false">
      <c r="A8" s="52" t="n">
        <v>2</v>
      </c>
      <c r="B8" s="53" t="s">
        <v>199</v>
      </c>
      <c r="C8" s="53" t="s">
        <v>200</v>
      </c>
      <c r="D8" s="55" t="n">
        <v>46349</v>
      </c>
      <c r="E8" s="55" t="n">
        <v>46360</v>
      </c>
      <c r="F8" s="55" t="n">
        <f aca="false">E8+14</f>
        <v>46374</v>
      </c>
      <c r="G8" s="52" t="s">
        <v>157</v>
      </c>
      <c r="H8" s="61" t="n">
        <v>0</v>
      </c>
      <c r="I8" s="52" t="n">
        <f aca="true">IF(E8="","",IF(G8="Done","Done",E8-TODAY()))</f>
        <v>39</v>
      </c>
      <c r="J8" s="61" t="n">
        <f aca="true">IF(OR(D8="",E8=""),"",IF(E8&gt;D8,MAX(0,MIN(1,(TODAY()-D8)/(E8-D8))),IF(TODAY()&gt;=E8,1,0)))</f>
        <v>0</v>
      </c>
      <c r="K8" s="52" t="n">
        <f aca="false">IF(J8="","",ROUND(J8*100-H8*100,0))</f>
        <v>0</v>
      </c>
      <c r="L8" s="62" t="str">
        <f aca="true">IF(OR(D8="",E8=""),"GREY",IF(G8="On hold","GREY",IF(G8="Done","GREEN",IF(E8&lt;TODAY(),"RED",IF(K8&gt;=30,"RED",IF(K8&gt;=15,"AMBER","GREEN"))))))</f>
        <v>GREEN</v>
      </c>
      <c r="M8" s="53" t="s">
        <v>201</v>
      </c>
    </row>
    <row r="9" customFormat="false" ht="30" hidden="false" customHeight="true" outlineLevel="0" collapsed="false">
      <c r="A9" s="52" t="n">
        <v>3</v>
      </c>
      <c r="B9" s="53" t="s">
        <v>202</v>
      </c>
      <c r="C9" s="53" t="s">
        <v>28</v>
      </c>
      <c r="D9" s="55" t="n">
        <v>46363</v>
      </c>
      <c r="E9" s="55" t="n">
        <v>46374</v>
      </c>
      <c r="F9" s="55" t="n">
        <f aca="false">E9+14</f>
        <v>46388</v>
      </c>
      <c r="G9" s="52" t="s">
        <v>157</v>
      </c>
      <c r="H9" s="61" t="n">
        <v>0</v>
      </c>
      <c r="I9" s="52" t="n">
        <f aca="true">IF(E9="","",IF(G9="Done","Done",E9-TODAY()))</f>
        <v>53</v>
      </c>
      <c r="J9" s="61" t="n">
        <f aca="true">IF(OR(D9="",E9=""),"",IF(E9&gt;D9,MAX(0,MIN(1,(TODAY()-D9)/(E9-D9))),IF(TODAY()&gt;=E9,1,0)))</f>
        <v>0</v>
      </c>
      <c r="K9" s="52" t="n">
        <f aca="false">IF(J9="","",ROUND(J9*100-H9*100,0))</f>
        <v>0</v>
      </c>
      <c r="L9" s="62" t="str">
        <f aca="true">IF(OR(D9="",E9=""),"GREY",IF(G9="On hold","GREY",IF(G9="Done","GREEN",IF(E9&lt;TODAY(),"RED",IF(K9&gt;=30,"RED",IF(K9&gt;=15,"AMBER","GREEN"))))))</f>
        <v>GREEN</v>
      </c>
      <c r="M9" s="53" t="s">
        <v>203</v>
      </c>
    </row>
    <row r="10" customFormat="false" ht="18" hidden="false" customHeight="true" outlineLevel="0" collapsed="false">
      <c r="A10" s="60" t="s">
        <v>171</v>
      </c>
      <c r="B10" s="60"/>
      <c r="C10" s="60"/>
      <c r="D10" s="60"/>
      <c r="E10" s="60"/>
      <c r="F10" s="60"/>
      <c r="G10" s="60"/>
      <c r="H10" s="60"/>
      <c r="I10" s="60"/>
      <c r="J10" s="60"/>
      <c r="K10" s="60"/>
      <c r="L10" s="60"/>
      <c r="M10" s="60"/>
    </row>
    <row r="11" customFormat="false" ht="16.5" hidden="false" customHeight="true" outlineLevel="0" collapsed="false">
      <c r="A11" s="52" t="n">
        <v>4</v>
      </c>
      <c r="B11" s="53" t="s">
        <v>204</v>
      </c>
      <c r="C11" s="53" t="s">
        <v>30</v>
      </c>
      <c r="D11" s="55" t="n">
        <v>46391</v>
      </c>
      <c r="E11" s="55" t="n">
        <v>46416</v>
      </c>
      <c r="F11" s="55" t="n">
        <f aca="false">E11+14</f>
        <v>46430</v>
      </c>
      <c r="G11" s="52" t="s">
        <v>157</v>
      </c>
      <c r="H11" s="61" t="n">
        <v>0</v>
      </c>
      <c r="I11" s="52" t="n">
        <f aca="true">IF(E11="","",IF(G11="Done","Done",E11-TODAY()))</f>
        <v>95</v>
      </c>
      <c r="J11" s="61" t="n">
        <f aca="true">IF(OR(D11="",E11=""),"",IF(E11&gt;D11,MAX(0,MIN(1,(TODAY()-D11)/(E11-D11))),IF(TODAY()&gt;=E11,1,0)))</f>
        <v>0</v>
      </c>
      <c r="K11" s="52" t="n">
        <f aca="false">IF(J11="","",ROUND(J11*100-H11*100,0))</f>
        <v>0</v>
      </c>
      <c r="L11" s="62" t="str">
        <f aca="true">IF(OR(D11="",E11=""),"GREY",IF(G11="On hold","GREY",IF(G11="Done","GREEN",IF(E11&lt;TODAY(),"RED",IF(K11&gt;=30,"RED",IF(K11&gt;=15,"AMBER","GREEN"))))))</f>
        <v>GREEN</v>
      </c>
      <c r="M11" s="53" t="s">
        <v>205</v>
      </c>
    </row>
    <row r="12" customFormat="false" ht="30" hidden="false" customHeight="true" outlineLevel="0" collapsed="false">
      <c r="A12" s="52" t="n">
        <v>5</v>
      </c>
      <c r="B12" s="53" t="s">
        <v>206</v>
      </c>
      <c r="C12" s="53" t="s">
        <v>200</v>
      </c>
      <c r="D12" s="55" t="n">
        <v>46398</v>
      </c>
      <c r="E12" s="55" t="n">
        <v>46477</v>
      </c>
      <c r="F12" s="55" t="n">
        <f aca="false">E12+14</f>
        <v>46491</v>
      </c>
      <c r="G12" s="52" t="s">
        <v>157</v>
      </c>
      <c r="H12" s="61" t="n">
        <v>0</v>
      </c>
      <c r="I12" s="52" t="n">
        <f aca="true">IF(E12="","",IF(G12="Done","Done",E12-TODAY()))</f>
        <v>156</v>
      </c>
      <c r="J12" s="61" t="n">
        <f aca="true">IF(OR(D12="",E12=""),"",IF(E12&gt;D12,MAX(0,MIN(1,(TODAY()-D12)/(E12-D12))),IF(TODAY()&gt;=E12,1,0)))</f>
        <v>0</v>
      </c>
      <c r="K12" s="52" t="n">
        <f aca="false">IF(J12="","",ROUND(J12*100-H12*100,0))</f>
        <v>0</v>
      </c>
      <c r="L12" s="62" t="str">
        <f aca="true">IF(OR(D12="",E12=""),"GREY",IF(G12="On hold","GREY",IF(G12="Done","GREEN",IF(E12&lt;TODAY(),"RED",IF(K12&gt;=30,"RED",IF(K12&gt;=15,"AMBER","GREEN"))))))</f>
        <v>GREEN</v>
      </c>
      <c r="M12" s="53" t="s">
        <v>207</v>
      </c>
    </row>
    <row r="13" customFormat="false" ht="30" hidden="false" customHeight="true" outlineLevel="0" collapsed="false">
      <c r="A13" s="52" t="n">
        <v>6</v>
      </c>
      <c r="B13" s="53" t="s">
        <v>208</v>
      </c>
      <c r="C13" s="53" t="s">
        <v>200</v>
      </c>
      <c r="D13" s="55" t="n">
        <v>46419</v>
      </c>
      <c r="E13" s="55" t="n">
        <v>46477</v>
      </c>
      <c r="F13" s="55" t="n">
        <f aca="false">E13+14</f>
        <v>46491</v>
      </c>
      <c r="G13" s="52" t="s">
        <v>157</v>
      </c>
      <c r="H13" s="61" t="n">
        <v>0</v>
      </c>
      <c r="I13" s="52" t="n">
        <f aca="true">IF(E13="","",IF(G13="Done","Done",E13-TODAY()))</f>
        <v>156</v>
      </c>
      <c r="J13" s="61" t="n">
        <f aca="true">IF(OR(D13="",E13=""),"",IF(E13&gt;D13,MAX(0,MIN(1,(TODAY()-D13)/(E13-D13))),IF(TODAY()&gt;=E13,1,0)))</f>
        <v>0</v>
      </c>
      <c r="K13" s="52" t="n">
        <f aca="false">IF(J13="","",ROUND(J13*100-H13*100,0))</f>
        <v>0</v>
      </c>
      <c r="L13" s="62" t="str">
        <f aca="true">IF(OR(D13="",E13=""),"GREY",IF(G13="On hold","GREY",IF(G13="Done","GREEN",IF(E13&lt;TODAY(),"RED",IF(K13&gt;=30,"RED",IF(K13&gt;=15,"AMBER","GREEN"))))))</f>
        <v>GREEN</v>
      </c>
      <c r="M13" s="53" t="s">
        <v>209</v>
      </c>
    </row>
    <row r="14" customFormat="false" ht="30" hidden="false" customHeight="true" outlineLevel="0" collapsed="false">
      <c r="A14" s="52" t="n">
        <v>7</v>
      </c>
      <c r="B14" s="53" t="s">
        <v>210</v>
      </c>
      <c r="C14" s="53" t="s">
        <v>200</v>
      </c>
      <c r="D14" s="55" t="n">
        <v>46419</v>
      </c>
      <c r="E14" s="55" t="n">
        <v>46477</v>
      </c>
      <c r="F14" s="55" t="n">
        <f aca="false">E14+14</f>
        <v>46491</v>
      </c>
      <c r="G14" s="52" t="s">
        <v>157</v>
      </c>
      <c r="H14" s="61" t="n">
        <v>0</v>
      </c>
      <c r="I14" s="52" t="n">
        <f aca="true">IF(E14="","",IF(G14="Done","Done",E14-TODAY()))</f>
        <v>156</v>
      </c>
      <c r="J14" s="61" t="n">
        <f aca="true">IF(OR(D14="",E14=""),"",IF(E14&gt;D14,MAX(0,MIN(1,(TODAY()-D14)/(E14-D14))),IF(TODAY()&gt;=E14,1,0)))</f>
        <v>0</v>
      </c>
      <c r="K14" s="52" t="n">
        <f aca="false">IF(J14="","",ROUND(J14*100-H14*100,0))</f>
        <v>0</v>
      </c>
      <c r="L14" s="62" t="str">
        <f aca="true">IF(OR(D14="",E14=""),"GREY",IF(G14="On hold","GREY",IF(G14="Done","GREEN",IF(E14&lt;TODAY(),"RED",IF(K14&gt;=30,"RED",IF(K14&gt;=15,"AMBER","GREEN"))))))</f>
        <v>GREEN</v>
      </c>
      <c r="M14" s="53" t="s">
        <v>211</v>
      </c>
    </row>
    <row r="15" customFormat="false" ht="30" hidden="false" customHeight="true" outlineLevel="0" collapsed="false">
      <c r="A15" s="52" t="n">
        <v>8</v>
      </c>
      <c r="B15" s="53" t="s">
        <v>212</v>
      </c>
      <c r="C15" s="53" t="s">
        <v>200</v>
      </c>
      <c r="D15" s="55" t="n">
        <f aca="false">EventDate-213</f>
        <v>46489</v>
      </c>
      <c r="E15" s="55" t="n">
        <f aca="false">EventDate-167</f>
        <v>46535</v>
      </c>
      <c r="F15" s="55" t="n">
        <f aca="false">E15+14</f>
        <v>46549</v>
      </c>
      <c r="G15" s="52" t="s">
        <v>157</v>
      </c>
      <c r="H15" s="61" t="n">
        <v>0</v>
      </c>
      <c r="I15" s="52" t="n">
        <f aca="true">IF(E15="","",IF(G15="Done","Done",E15-TODAY()))</f>
        <v>214</v>
      </c>
      <c r="J15" s="61" t="n">
        <f aca="true">IF(OR(D15="",E15=""),"",IF(E15&gt;D15,MAX(0,MIN(1,(TODAY()-D15)/(E15-D15))),IF(TODAY()&gt;=E15,1,0)))</f>
        <v>0</v>
      </c>
      <c r="K15" s="52" t="n">
        <f aca="false">IF(J15="","",ROUND(J15*100-H15*100,0))</f>
        <v>0</v>
      </c>
      <c r="L15" s="62" t="str">
        <f aca="true">IF(OR(D15="",E15=""),"GREY",IF(G15="On hold","GREY",IF(G15="Done","GREEN",IF(E15&lt;TODAY(),"RED",IF(K15&gt;=30,"RED",IF(K15&gt;=15,"AMBER","GREEN"))))))</f>
        <v>GREEN</v>
      </c>
      <c r="M15" s="53" t="s">
        <v>213</v>
      </c>
    </row>
    <row r="16" customFormat="false" ht="16.5" hidden="false" customHeight="true" outlineLevel="0" collapsed="false">
      <c r="A16" s="52" t="n">
        <v>9</v>
      </c>
      <c r="B16" s="53" t="s">
        <v>214</v>
      </c>
      <c r="C16" s="53" t="s">
        <v>200</v>
      </c>
      <c r="D16" s="55" t="n">
        <f aca="false">EventDate-163</f>
        <v>46539</v>
      </c>
      <c r="E16" s="55" t="n">
        <f aca="false">EventDate-146</f>
        <v>46556</v>
      </c>
      <c r="F16" s="55" t="n">
        <f aca="false">E16+14</f>
        <v>46570</v>
      </c>
      <c r="G16" s="52" t="s">
        <v>157</v>
      </c>
      <c r="H16" s="61" t="n">
        <v>0</v>
      </c>
      <c r="I16" s="52" t="n">
        <f aca="true">IF(E16="","",IF(G16="Done","Done",E16-TODAY()))</f>
        <v>235</v>
      </c>
      <c r="J16" s="61" t="n">
        <f aca="true">IF(OR(D16="",E16=""),"",IF(E16&gt;D16,MAX(0,MIN(1,(TODAY()-D16)/(E16-D16))),IF(TODAY()&gt;=E16,1,0)))</f>
        <v>0</v>
      </c>
      <c r="K16" s="52" t="n">
        <f aca="false">IF(J16="","",ROUND(J16*100-H16*100,0))</f>
        <v>0</v>
      </c>
      <c r="L16" s="62" t="str">
        <f aca="true">IF(OR(D16="",E16=""),"GREY",IF(G16="On hold","GREY",IF(G16="Done","GREEN",IF(E16&lt;TODAY(),"RED",IF(K16&gt;=30,"RED",IF(K16&gt;=15,"AMBER","GREEN"))))))</f>
        <v>GREEN</v>
      </c>
      <c r="M16" s="53" t="s">
        <v>215</v>
      </c>
    </row>
    <row r="17" customFormat="false" ht="30" hidden="false" customHeight="true" outlineLevel="0" collapsed="false">
      <c r="A17" s="52" t="n">
        <v>10</v>
      </c>
      <c r="B17" s="53" t="s">
        <v>216</v>
      </c>
      <c r="C17" s="53" t="s">
        <v>30</v>
      </c>
      <c r="D17" s="55" t="n">
        <f aca="false">EventDate-163</f>
        <v>46539</v>
      </c>
      <c r="E17" s="55" t="n">
        <f aca="false">EventDate-139</f>
        <v>46563</v>
      </c>
      <c r="F17" s="55" t="n">
        <f aca="false">E17+14</f>
        <v>46577</v>
      </c>
      <c r="G17" s="52" t="s">
        <v>157</v>
      </c>
      <c r="H17" s="61" t="n">
        <v>0</v>
      </c>
      <c r="I17" s="52" t="n">
        <f aca="true">IF(E17="","",IF(G17="Done","Done",E17-TODAY()))</f>
        <v>242</v>
      </c>
      <c r="J17" s="61" t="n">
        <f aca="true">IF(OR(D17="",E17=""),"",IF(E17&gt;D17,MAX(0,MIN(1,(TODAY()-D17)/(E17-D17))),IF(TODAY()&gt;=E17,1,0)))</f>
        <v>0</v>
      </c>
      <c r="K17" s="52" t="n">
        <f aca="false">IF(J17="","",ROUND(J17*100-H17*100,0))</f>
        <v>0</v>
      </c>
      <c r="L17" s="62" t="str">
        <f aca="true">IF(OR(D17="",E17=""),"GREY",IF(G17="On hold","GREY",IF(G17="Done","GREEN",IF(E17&lt;TODAY(),"RED",IF(K17&gt;=30,"RED",IF(K17&gt;=15,"AMBER","GREEN"))))))</f>
        <v>GREEN</v>
      </c>
      <c r="M17" s="53" t="s">
        <v>217</v>
      </c>
    </row>
    <row r="18" customFormat="false" ht="30" hidden="false" customHeight="true" outlineLevel="0" collapsed="false">
      <c r="A18" s="52" t="n">
        <v>11</v>
      </c>
      <c r="B18" s="53" t="s">
        <v>218</v>
      </c>
      <c r="C18" s="53" t="s">
        <v>200</v>
      </c>
      <c r="D18" s="55" t="n">
        <f aca="false">EventDate-157</f>
        <v>46545</v>
      </c>
      <c r="E18" s="55" t="n">
        <f aca="false">EventDate-134</f>
        <v>46568</v>
      </c>
      <c r="F18" s="55" t="n">
        <f aca="false">E18+14</f>
        <v>46582</v>
      </c>
      <c r="G18" s="52" t="s">
        <v>157</v>
      </c>
      <c r="H18" s="61" t="n">
        <v>0</v>
      </c>
      <c r="I18" s="52" t="n">
        <f aca="true">IF(E18="","",IF(G18="Done","Done",E18-TODAY()))</f>
        <v>247</v>
      </c>
      <c r="J18" s="61" t="n">
        <f aca="true">IF(OR(D18="",E18=""),"",IF(E18&gt;D18,MAX(0,MIN(1,(TODAY()-D18)/(E18-D18))),IF(TODAY()&gt;=E18,1,0)))</f>
        <v>0</v>
      </c>
      <c r="K18" s="52" t="n">
        <f aca="false">IF(J18="","",ROUND(J18*100-H18*100,0))</f>
        <v>0</v>
      </c>
      <c r="L18" s="62" t="str">
        <f aca="true">IF(OR(D18="",E18=""),"GREY",IF(G18="On hold","GREY",IF(G18="Done","GREEN",IF(E18&lt;TODAY(),"RED",IF(K18&gt;=30,"RED",IF(K18&gt;=15,"AMBER","GREEN"))))))</f>
        <v>GREEN</v>
      </c>
      <c r="M18" s="53" t="s">
        <v>219</v>
      </c>
    </row>
    <row r="19" customFormat="false" ht="18" hidden="false" customHeight="true" outlineLevel="0" collapsed="false">
      <c r="A19" s="60" t="s">
        <v>179</v>
      </c>
      <c r="B19" s="60"/>
      <c r="C19" s="60"/>
      <c r="D19" s="60"/>
      <c r="E19" s="60"/>
      <c r="F19" s="60"/>
      <c r="G19" s="60"/>
      <c r="H19" s="60"/>
      <c r="I19" s="60"/>
      <c r="J19" s="60"/>
      <c r="K19" s="60"/>
      <c r="L19" s="60"/>
      <c r="M19" s="60"/>
    </row>
    <row r="20" customFormat="false" ht="30" hidden="false" customHeight="true" outlineLevel="0" collapsed="false">
      <c r="A20" s="52" t="n">
        <v>12</v>
      </c>
      <c r="B20" s="53" t="s">
        <v>220</v>
      </c>
      <c r="C20" s="53" t="s">
        <v>30</v>
      </c>
      <c r="D20" s="55" t="n">
        <f aca="false">EventDate-133</f>
        <v>46569</v>
      </c>
      <c r="E20" s="55" t="n">
        <f aca="false">EventDate-104</f>
        <v>46598</v>
      </c>
      <c r="F20" s="55" t="n">
        <f aca="false">E20+14</f>
        <v>46612</v>
      </c>
      <c r="G20" s="52" t="s">
        <v>157</v>
      </c>
      <c r="H20" s="61" t="n">
        <v>0</v>
      </c>
      <c r="I20" s="52" t="n">
        <f aca="true">IF(E20="","",IF(G20="Done","Done",E20-TODAY()))</f>
        <v>277</v>
      </c>
      <c r="J20" s="61" t="n">
        <f aca="true">IF(OR(D20="",E20=""),"",IF(E20&gt;D20,MAX(0,MIN(1,(TODAY()-D20)/(E20-D20))),IF(TODAY()&gt;=E20,1,0)))</f>
        <v>0</v>
      </c>
      <c r="K20" s="52" t="n">
        <f aca="false">IF(J20="","",ROUND(J20*100-H20*100,0))</f>
        <v>0</v>
      </c>
      <c r="L20" s="62" t="str">
        <f aca="true">IF(OR(D20="",E20=""),"GREY",IF(G20="On hold","GREY",IF(G20="Done","GREEN",IF(E20&lt;TODAY(),"RED",IF(K20&gt;=30,"RED",IF(K20&gt;=15,"AMBER","GREEN"))))))</f>
        <v>GREEN</v>
      </c>
      <c r="M20" s="53" t="s">
        <v>221</v>
      </c>
    </row>
    <row r="21" customFormat="false" ht="30" hidden="false" customHeight="true" outlineLevel="0" collapsed="false">
      <c r="A21" s="52" t="n">
        <v>13</v>
      </c>
      <c r="B21" s="53" t="s">
        <v>222</v>
      </c>
      <c r="C21" s="53" t="s">
        <v>200</v>
      </c>
      <c r="D21" s="55" t="n">
        <f aca="false">EventDate-129</f>
        <v>46573</v>
      </c>
      <c r="E21" s="55" t="n">
        <f aca="false">EventDate-76</f>
        <v>46626</v>
      </c>
      <c r="F21" s="55" t="n">
        <f aca="false">E21+14</f>
        <v>46640</v>
      </c>
      <c r="G21" s="52" t="s">
        <v>157</v>
      </c>
      <c r="H21" s="61" t="n">
        <v>0</v>
      </c>
      <c r="I21" s="52" t="n">
        <f aca="true">IF(E21="","",IF(G21="Done","Done",E21-TODAY()))</f>
        <v>305</v>
      </c>
      <c r="J21" s="61" t="n">
        <f aca="true">IF(OR(D21="",E21=""),"",IF(E21&gt;D21,MAX(0,MIN(1,(TODAY()-D21)/(E21-D21))),IF(TODAY()&gt;=E21,1,0)))</f>
        <v>0</v>
      </c>
      <c r="K21" s="52" t="n">
        <f aca="false">IF(J21="","",ROUND(J21*100-H21*100,0))</f>
        <v>0</v>
      </c>
      <c r="L21" s="62" t="str">
        <f aca="true">IF(OR(D21="",E21=""),"GREY",IF(G21="On hold","GREY",IF(G21="Done","GREEN",IF(E21&lt;TODAY(),"RED",IF(K21&gt;=30,"RED",IF(K21&gt;=15,"AMBER","GREEN"))))))</f>
        <v>GREEN</v>
      </c>
      <c r="M21" s="53" t="s">
        <v>223</v>
      </c>
    </row>
    <row r="22" customFormat="false" ht="16.5" hidden="false" customHeight="true" outlineLevel="0" collapsed="false">
      <c r="A22" s="52" t="n">
        <v>14</v>
      </c>
      <c r="B22" s="53" t="s">
        <v>224</v>
      </c>
      <c r="C22" s="53" t="s">
        <v>30</v>
      </c>
      <c r="D22" s="55" t="n">
        <f aca="false">EventDate-73</f>
        <v>46629</v>
      </c>
      <c r="E22" s="55" t="n">
        <f aca="false">EventDate-62</f>
        <v>46640</v>
      </c>
      <c r="F22" s="55" t="n">
        <f aca="false">E22+14</f>
        <v>46654</v>
      </c>
      <c r="G22" s="52" t="s">
        <v>157</v>
      </c>
      <c r="H22" s="61" t="n">
        <v>0</v>
      </c>
      <c r="I22" s="52" t="n">
        <f aca="true">IF(E22="","",IF(G22="Done","Done",E22-TODAY()))</f>
        <v>319</v>
      </c>
      <c r="J22" s="61" t="n">
        <f aca="true">IF(OR(D22="",E22=""),"",IF(E22&gt;D22,MAX(0,MIN(1,(TODAY()-D22)/(E22-D22))),IF(TODAY()&gt;=E22,1,0)))</f>
        <v>0</v>
      </c>
      <c r="K22" s="52" t="n">
        <f aca="false">IF(J22="","",ROUND(J22*100-H22*100,0))</f>
        <v>0</v>
      </c>
      <c r="L22" s="62" t="str">
        <f aca="true">IF(OR(D22="",E22=""),"GREY",IF(G22="On hold","GREY",IF(G22="Done","GREEN",IF(E22&lt;TODAY(),"RED",IF(K22&gt;=30,"RED",IF(K22&gt;=15,"AMBER","GREEN"))))))</f>
        <v>GREEN</v>
      </c>
      <c r="M22" s="53" t="s">
        <v>225</v>
      </c>
    </row>
    <row r="23" customFormat="false" ht="30" hidden="false" customHeight="true" outlineLevel="0" collapsed="false">
      <c r="A23" s="52" t="n">
        <v>15</v>
      </c>
      <c r="B23" s="53" t="s">
        <v>226</v>
      </c>
      <c r="C23" s="53" t="s">
        <v>200</v>
      </c>
      <c r="D23" s="55" t="n">
        <f aca="false">EventDate-73</f>
        <v>46629</v>
      </c>
      <c r="E23" s="55" t="n">
        <f aca="false">EventDate-55</f>
        <v>46647</v>
      </c>
      <c r="F23" s="55" t="n">
        <f aca="false">E23+14</f>
        <v>46661</v>
      </c>
      <c r="G23" s="52" t="s">
        <v>157</v>
      </c>
      <c r="H23" s="61" t="n">
        <v>0</v>
      </c>
      <c r="I23" s="52" t="n">
        <f aca="true">IF(E23="","",IF(G23="Done","Done",E23-TODAY()))</f>
        <v>326</v>
      </c>
      <c r="J23" s="61" t="n">
        <f aca="true">IF(OR(D23="",E23=""),"",IF(E23&gt;D23,MAX(0,MIN(1,(TODAY()-D23)/(E23-D23))),IF(TODAY()&gt;=E23,1,0)))</f>
        <v>0</v>
      </c>
      <c r="K23" s="52" t="n">
        <f aca="false">IF(J23="","",ROUND(J23*100-H23*100,0))</f>
        <v>0</v>
      </c>
      <c r="L23" s="62" t="str">
        <f aca="true">IF(OR(D23="",E23=""),"GREY",IF(G23="On hold","GREY",IF(G23="Done","GREEN",IF(E23&lt;TODAY(),"RED",IF(K23&gt;=30,"RED",IF(K23&gt;=15,"AMBER","GREEN"))))))</f>
        <v>GREEN</v>
      </c>
      <c r="M23" s="53" t="s">
        <v>227</v>
      </c>
    </row>
    <row r="24" customFormat="false" ht="43.5" hidden="false" customHeight="true" outlineLevel="0" collapsed="false">
      <c r="A24" s="52" t="n">
        <v>16</v>
      </c>
      <c r="B24" s="53" t="s">
        <v>228</v>
      </c>
      <c r="C24" s="53" t="s">
        <v>30</v>
      </c>
      <c r="D24" s="55" t="n">
        <f aca="false">EventDate-73</f>
        <v>46629</v>
      </c>
      <c r="E24" s="55" t="n">
        <f aca="false">EventDate-55</f>
        <v>46647</v>
      </c>
      <c r="F24" s="55" t="n">
        <f aca="false">E24+14</f>
        <v>46661</v>
      </c>
      <c r="G24" s="52" t="s">
        <v>157</v>
      </c>
      <c r="H24" s="61" t="n">
        <v>0</v>
      </c>
      <c r="I24" s="52" t="n">
        <f aca="true">IF(E24="","",IF(G24="Done","Done",E24-TODAY()))</f>
        <v>326</v>
      </c>
      <c r="J24" s="61" t="n">
        <f aca="true">IF(OR(D24="",E24=""),"",IF(E24&gt;D24,MAX(0,MIN(1,(TODAY()-D24)/(E24-D24))),IF(TODAY()&gt;=E24,1,0)))</f>
        <v>0</v>
      </c>
      <c r="K24" s="52" t="n">
        <f aca="false">IF(J24="","",ROUND(J24*100-H24*100,0))</f>
        <v>0</v>
      </c>
      <c r="L24" s="62" t="str">
        <f aca="true">IF(OR(D24="",E24=""),"GREY",IF(G24="On hold","GREY",IF(G24="Done","GREEN",IF(E24&lt;TODAY(),"RED",IF(K24&gt;=30,"RED",IF(K24&gt;=15,"AMBER","GREEN"))))))</f>
        <v>GREEN</v>
      </c>
      <c r="M24" s="53" t="s">
        <v>229</v>
      </c>
    </row>
    <row r="25" customFormat="false" ht="30" hidden="false" customHeight="true" outlineLevel="0" collapsed="false">
      <c r="A25" s="52" t="n">
        <v>17</v>
      </c>
      <c r="B25" s="53" t="s">
        <v>230</v>
      </c>
      <c r="C25" s="53" t="s">
        <v>30</v>
      </c>
      <c r="D25" s="55" t="n">
        <f aca="false">EventDate-59</f>
        <v>46643</v>
      </c>
      <c r="E25" s="55" t="n">
        <f aca="false">EventDate-42</f>
        <v>46660</v>
      </c>
      <c r="F25" s="55" t="n">
        <f aca="false">E25+14</f>
        <v>46674</v>
      </c>
      <c r="G25" s="52" t="s">
        <v>157</v>
      </c>
      <c r="H25" s="61" t="n">
        <v>0</v>
      </c>
      <c r="I25" s="52" t="n">
        <f aca="true">IF(E25="","",IF(G25="Done","Done",E25-TODAY()))</f>
        <v>339</v>
      </c>
      <c r="J25" s="61" t="n">
        <f aca="true">IF(OR(D25="",E25=""),"",IF(E25&gt;D25,MAX(0,MIN(1,(TODAY()-D25)/(E25-D25))),IF(TODAY()&gt;=E25,1,0)))</f>
        <v>0</v>
      </c>
      <c r="K25" s="52" t="n">
        <f aca="false">IF(J25="","",ROUND(J25*100-H25*100,0))</f>
        <v>0</v>
      </c>
      <c r="L25" s="62" t="str">
        <f aca="true">IF(OR(D25="",E25=""),"GREY",IF(G25="On hold","GREY",IF(G25="Done","GREEN",IF(E25&lt;TODAY(),"RED",IF(K25&gt;=30,"RED",IF(K25&gt;=15,"AMBER","GREEN"))))))</f>
        <v>GREEN</v>
      </c>
      <c r="M25" s="53" t="s">
        <v>231</v>
      </c>
    </row>
    <row r="26" customFormat="false" ht="16.5" hidden="false" customHeight="true" outlineLevel="0" collapsed="false">
      <c r="A26" s="52" t="n">
        <v>18</v>
      </c>
      <c r="B26" s="53" t="s">
        <v>232</v>
      </c>
      <c r="C26" s="53" t="s">
        <v>200</v>
      </c>
      <c r="D26" s="55" t="n">
        <f aca="false">EventDate-52</f>
        <v>46650</v>
      </c>
      <c r="E26" s="55" t="n">
        <f aca="false">EventDate-48</f>
        <v>46654</v>
      </c>
      <c r="F26" s="55" t="n">
        <f aca="false">E26+14</f>
        <v>46668</v>
      </c>
      <c r="G26" s="52" t="s">
        <v>157</v>
      </c>
      <c r="H26" s="61" t="n">
        <v>0</v>
      </c>
      <c r="I26" s="52" t="n">
        <f aca="true">IF(E26="","",IF(G26="Done","Done",E26-TODAY()))</f>
        <v>333</v>
      </c>
      <c r="J26" s="61" t="n">
        <f aca="true">IF(OR(D26="",E26=""),"",IF(E26&gt;D26,MAX(0,MIN(1,(TODAY()-D26)/(E26-D26))),IF(TODAY()&gt;=E26,1,0)))</f>
        <v>0</v>
      </c>
      <c r="K26" s="52" t="n">
        <f aca="false">IF(J26="","",ROUND(J26*100-H26*100,0))</f>
        <v>0</v>
      </c>
      <c r="L26" s="62" t="str">
        <f aca="true">IF(OR(D26="",E26=""),"GREY",IF(G26="On hold","GREY",IF(G26="Done","GREEN",IF(E26&lt;TODAY(),"RED",IF(K26&gt;=30,"RED",IF(K26&gt;=15,"AMBER","GREEN"))))))</f>
        <v>GREEN</v>
      </c>
      <c r="M26" s="53" t="s">
        <v>233</v>
      </c>
    </row>
    <row r="27" customFormat="false" ht="30" hidden="false" customHeight="true" outlineLevel="0" collapsed="false">
      <c r="A27" s="52" t="n">
        <v>19</v>
      </c>
      <c r="B27" s="53" t="s">
        <v>234</v>
      </c>
      <c r="C27" s="53" t="s">
        <v>30</v>
      </c>
      <c r="D27" s="55" t="n">
        <f aca="false">EventDate-52</f>
        <v>46650</v>
      </c>
      <c r="E27" s="55" t="n">
        <f aca="false">EventDate-42</f>
        <v>46660</v>
      </c>
      <c r="F27" s="55" t="n">
        <f aca="false">E27+14</f>
        <v>46674</v>
      </c>
      <c r="G27" s="52" t="s">
        <v>157</v>
      </c>
      <c r="H27" s="61" t="n">
        <v>0</v>
      </c>
      <c r="I27" s="52" t="n">
        <f aca="true">IF(E27="","",IF(G27="Done","Done",E27-TODAY()))</f>
        <v>339</v>
      </c>
      <c r="J27" s="61" t="n">
        <f aca="true">IF(OR(D27="",E27=""),"",IF(E27&gt;D27,MAX(0,MIN(1,(TODAY()-D27)/(E27-D27))),IF(TODAY()&gt;=E27,1,0)))</f>
        <v>0</v>
      </c>
      <c r="K27" s="52" t="n">
        <f aca="false">IF(J27="","",ROUND(J27*100-H27*100,0))</f>
        <v>0</v>
      </c>
      <c r="L27" s="62" t="str">
        <f aca="true">IF(OR(D27="",E27=""),"GREY",IF(G27="On hold","GREY",IF(G27="Done","GREEN",IF(E27&lt;TODAY(),"RED",IF(K27&gt;=30,"RED",IF(K27&gt;=15,"AMBER","GREEN"))))))</f>
        <v>GREEN</v>
      </c>
      <c r="M27" s="53" t="s">
        <v>235</v>
      </c>
    </row>
    <row r="28" customFormat="false" ht="16.5" hidden="false" customHeight="true" outlineLevel="0" collapsed="false">
      <c r="A28" s="52" t="n">
        <v>20</v>
      </c>
      <c r="B28" s="53" t="s">
        <v>236</v>
      </c>
      <c r="C28" s="53" t="s">
        <v>30</v>
      </c>
      <c r="D28" s="55" t="n">
        <f aca="false">EventDate-45</f>
        <v>46657</v>
      </c>
      <c r="E28" s="55" t="n">
        <f aca="false">EventDate-42</f>
        <v>46660</v>
      </c>
      <c r="F28" s="55" t="n">
        <f aca="false">E28+14</f>
        <v>46674</v>
      </c>
      <c r="G28" s="52" t="s">
        <v>157</v>
      </c>
      <c r="H28" s="61" t="n">
        <v>0</v>
      </c>
      <c r="I28" s="52" t="n">
        <f aca="true">IF(E28="","",IF(G28="Done","Done",E28-TODAY()))</f>
        <v>339</v>
      </c>
      <c r="J28" s="61" t="n">
        <f aca="true">IF(OR(D28="",E28=""),"",IF(E28&gt;D28,MAX(0,MIN(1,(TODAY()-D28)/(E28-D28))),IF(TODAY()&gt;=E28,1,0)))</f>
        <v>0</v>
      </c>
      <c r="K28" s="52" t="n">
        <f aca="false">IF(J28="","",ROUND(J28*100-H28*100,0))</f>
        <v>0</v>
      </c>
      <c r="L28" s="62" t="str">
        <f aca="true">IF(OR(D28="",E28=""),"GREY",IF(G28="On hold","GREY",IF(G28="Done","GREEN",IF(E28&lt;TODAY(),"RED",IF(K28&gt;=30,"RED",IF(K28&gt;=15,"AMBER","GREEN"))))))</f>
        <v>GREEN</v>
      </c>
      <c r="M28" s="53" t="s">
        <v>237</v>
      </c>
    </row>
    <row r="29" customFormat="false" ht="18" hidden="false" customHeight="true" outlineLevel="0" collapsed="false">
      <c r="A29" s="63" t="s">
        <v>185</v>
      </c>
      <c r="B29" s="63"/>
      <c r="C29" s="63"/>
      <c r="D29" s="63"/>
      <c r="E29" s="63"/>
      <c r="F29" s="63"/>
      <c r="G29" s="63"/>
      <c r="H29" s="63"/>
      <c r="I29" s="63"/>
      <c r="J29" s="63"/>
      <c r="K29" s="63"/>
      <c r="L29" s="63"/>
      <c r="M29" s="63"/>
    </row>
    <row r="30" customFormat="false" ht="16.5" hidden="false" customHeight="true" outlineLevel="0" collapsed="false">
      <c r="A30" s="64" t="n">
        <v>21</v>
      </c>
      <c r="B30" s="65" t="s">
        <v>238</v>
      </c>
      <c r="C30" s="65" t="s">
        <v>200</v>
      </c>
      <c r="D30" s="66" t="n">
        <f aca="false">EventDate-24</f>
        <v>46678</v>
      </c>
      <c r="E30" s="66" t="n">
        <f aca="false">EventDate-13</f>
        <v>46689</v>
      </c>
      <c r="F30" s="66" t="n">
        <f aca="false">E30</f>
        <v>46689</v>
      </c>
      <c r="G30" s="64" t="s">
        <v>157</v>
      </c>
      <c r="H30" s="67" t="n">
        <v>0</v>
      </c>
      <c r="I30" s="64" t="n">
        <f aca="true">IF(E30="","",IF(G30="Done","Done",E30-TODAY()))</f>
        <v>368</v>
      </c>
      <c r="J30" s="67" t="n">
        <f aca="true">IF(OR(D30="",E30=""),"",IF(E30&gt;D30,MAX(0,MIN(1,(TODAY()-D30)/(E30-D30))),IF(TODAY()&gt;=E30,1,0)))</f>
        <v>0</v>
      </c>
      <c r="K30" s="64" t="n">
        <f aca="false">IF(J30="","",ROUND(J30*100-H30*100,0))</f>
        <v>0</v>
      </c>
      <c r="L30" s="68" t="str">
        <f aca="true">IF(OR(D30="",E30=""),"GREY",IF(G30="On hold","GREY",IF(G30="Done","GREEN",IF(E30&lt;TODAY(),"RED",IF(K30&gt;=30,"RED",IF(K30&gt;=15,"AMBER","GREEN"))))))</f>
        <v>GREEN</v>
      </c>
      <c r="M30" s="65" t="s">
        <v>239</v>
      </c>
    </row>
    <row r="31" customFormat="false" ht="30" hidden="false" customHeight="true" outlineLevel="0" collapsed="false">
      <c r="A31" s="64" t="n">
        <v>22</v>
      </c>
      <c r="B31" s="65" t="s">
        <v>240</v>
      </c>
      <c r="C31" s="65" t="s">
        <v>30</v>
      </c>
      <c r="D31" s="66" t="n">
        <f aca="false">EventDate-17</f>
        <v>46685</v>
      </c>
      <c r="E31" s="66" t="n">
        <f aca="false">EventDate-8</f>
        <v>46694</v>
      </c>
      <c r="F31" s="66" t="n">
        <f aca="false">E31</f>
        <v>46694</v>
      </c>
      <c r="G31" s="64" t="s">
        <v>157</v>
      </c>
      <c r="H31" s="67" t="n">
        <v>0</v>
      </c>
      <c r="I31" s="64" t="n">
        <f aca="true">IF(E31="","",IF(G31="Done","Done",E31-TODAY()))</f>
        <v>373</v>
      </c>
      <c r="J31" s="67" t="n">
        <f aca="true">IF(OR(D31="",E31=""),"",IF(E31&gt;D31,MAX(0,MIN(1,(TODAY()-D31)/(E31-D31))),IF(TODAY()&gt;=E31,1,0)))</f>
        <v>0</v>
      </c>
      <c r="K31" s="64" t="n">
        <f aca="false">IF(J31="","",ROUND(J31*100-H31*100,0))</f>
        <v>0</v>
      </c>
      <c r="L31" s="68" t="str">
        <f aca="true">IF(OR(D31="",E31=""),"GREY",IF(G31="On hold","GREY",IF(G31="Done","GREEN",IF(E31&lt;TODAY(),"RED",IF(K31&gt;=30,"RED",IF(K31&gt;=15,"AMBER","GREEN"))))))</f>
        <v>GREEN</v>
      </c>
      <c r="M31" s="65" t="s">
        <v>241</v>
      </c>
    </row>
    <row r="32" customFormat="false" ht="30" hidden="false" customHeight="true" outlineLevel="0" collapsed="false">
      <c r="A32" s="64" t="n">
        <v>23</v>
      </c>
      <c r="B32" s="65" t="s">
        <v>242</v>
      </c>
      <c r="C32" s="65" t="s">
        <v>30</v>
      </c>
      <c r="D32" s="66" t="n">
        <f aca="false">EventDate-10</f>
        <v>46692</v>
      </c>
      <c r="E32" s="66" t="n">
        <f aca="false">EventDate-3</f>
        <v>46699</v>
      </c>
      <c r="F32" s="66" t="n">
        <f aca="false">E32</f>
        <v>46699</v>
      </c>
      <c r="G32" s="64" t="s">
        <v>157</v>
      </c>
      <c r="H32" s="67" t="n">
        <v>0</v>
      </c>
      <c r="I32" s="64" t="n">
        <f aca="true">IF(E32="","",IF(G32="Done","Done",E32-TODAY()))</f>
        <v>378</v>
      </c>
      <c r="J32" s="67" t="n">
        <f aca="true">IF(OR(D32="",E32=""),"",IF(E32&gt;D32,MAX(0,MIN(1,(TODAY()-D32)/(E32-D32))),IF(TODAY()&gt;=E32,1,0)))</f>
        <v>0</v>
      </c>
      <c r="K32" s="64" t="n">
        <f aca="false">IF(J32="","",ROUND(J32*100-H32*100,0))</f>
        <v>0</v>
      </c>
      <c r="L32" s="68" t="str">
        <f aca="true">IF(OR(D32="",E32=""),"GREY",IF(G32="On hold","GREY",IF(G32="Done","GREEN",IF(E32&lt;TODAY(),"RED",IF(K32&gt;=30,"RED",IF(K32&gt;=15,"AMBER","GREEN"))))))</f>
        <v>GREEN</v>
      </c>
      <c r="M32" s="65" t="s">
        <v>189</v>
      </c>
    </row>
    <row r="33" customFormat="false" ht="18" hidden="false" customHeight="true" outlineLevel="0" collapsed="false">
      <c r="A33" s="60" t="s">
        <v>190</v>
      </c>
      <c r="B33" s="60"/>
      <c r="C33" s="60"/>
      <c r="D33" s="60"/>
      <c r="E33" s="60"/>
      <c r="F33" s="60"/>
      <c r="G33" s="60"/>
      <c r="H33" s="60"/>
      <c r="I33" s="60"/>
      <c r="J33" s="60"/>
      <c r="K33" s="60"/>
      <c r="L33" s="60"/>
      <c r="M33" s="60"/>
    </row>
    <row r="34" customFormat="false" ht="30" hidden="false" customHeight="true" outlineLevel="0" collapsed="false">
      <c r="A34" s="52" t="n">
        <v>24</v>
      </c>
      <c r="B34" s="53" t="s">
        <v>243</v>
      </c>
      <c r="C34" s="53" t="s">
        <v>30</v>
      </c>
      <c r="D34" s="55" t="n">
        <f aca="false">EventDate</f>
        <v>46702</v>
      </c>
      <c r="E34" s="55" t="n">
        <f aca="false">EventDate</f>
        <v>46702</v>
      </c>
      <c r="F34" s="55" t="n">
        <f aca="false">E34</f>
        <v>46702</v>
      </c>
      <c r="G34" s="52" t="s">
        <v>157</v>
      </c>
      <c r="H34" s="61" t="n">
        <v>0</v>
      </c>
      <c r="I34" s="52" t="n">
        <f aca="true">IF(E34="","",IF(G34="Done","Done",E34-TODAY()))</f>
        <v>381</v>
      </c>
      <c r="J34" s="61" t="n">
        <f aca="true">IF(OR(D34="",E34=""),"",IF(E34&gt;D34,MAX(0,MIN(1,(TODAY()-D34)/(E34-D34))),IF(TODAY()&gt;=E34,1,0)))</f>
        <v>0</v>
      </c>
      <c r="K34" s="52" t="n">
        <f aca="false">IF(J34="","",ROUND(J34*100-H34*100,0))</f>
        <v>0</v>
      </c>
      <c r="L34" s="62" t="str">
        <f aca="true">IF(OR(D34="",E34=""),"GREY",IF(G34="On hold","GREY",IF(G34="Done","GREEN",IF(E34&lt;TODAY(),"RED",IF(K34&gt;=30,"RED",IF(K34&gt;=15,"AMBER","GREEN"))))))</f>
        <v>GREEN</v>
      </c>
      <c r="M34" s="53" t="s">
        <v>244</v>
      </c>
    </row>
    <row r="35" customFormat="false" ht="30" hidden="false" customHeight="true" outlineLevel="0" collapsed="false">
      <c r="A35" s="52" t="n">
        <v>25</v>
      </c>
      <c r="B35" s="53" t="s">
        <v>245</v>
      </c>
      <c r="C35" s="53" t="s">
        <v>30</v>
      </c>
      <c r="D35" s="55" t="n">
        <f aca="false">EventDate</f>
        <v>46702</v>
      </c>
      <c r="E35" s="55" t="n">
        <f aca="false">EventDate+1</f>
        <v>46703</v>
      </c>
      <c r="F35" s="55" t="n">
        <f aca="false">E35+14</f>
        <v>46717</v>
      </c>
      <c r="G35" s="52" t="s">
        <v>157</v>
      </c>
      <c r="H35" s="61" t="n">
        <v>0</v>
      </c>
      <c r="I35" s="52" t="n">
        <f aca="true">IF(E35="","",IF(G35="Done","Done",E35-TODAY()))</f>
        <v>382</v>
      </c>
      <c r="J35" s="61" t="n">
        <f aca="true">IF(OR(D35="",E35=""),"",IF(E35&gt;D35,MAX(0,MIN(1,(TODAY()-D35)/(E35-D35))),IF(TODAY()&gt;=E35,1,0)))</f>
        <v>0</v>
      </c>
      <c r="K35" s="52" t="n">
        <f aca="false">IF(J35="","",ROUND(J35*100-H35*100,0))</f>
        <v>0</v>
      </c>
      <c r="L35" s="62" t="str">
        <f aca="true">IF(OR(D35="",E35=""),"GREY",IF(G35="On hold","GREY",IF(G35="Done","GREEN",IF(E35&lt;TODAY(),"RED",IF(K35&gt;=30,"RED",IF(K35&gt;=15,"AMBER","GREEN"))))))</f>
        <v>GREEN</v>
      </c>
      <c r="M35" s="53" t="s">
        <v>246</v>
      </c>
    </row>
    <row r="36" customFormat="false" ht="16.5" hidden="false" customHeight="true" outlineLevel="0" collapsed="false">
      <c r="A36" s="52" t="n">
        <v>26</v>
      </c>
      <c r="B36" s="53" t="s">
        <v>247</v>
      </c>
      <c r="C36" s="53" t="s">
        <v>30</v>
      </c>
      <c r="D36" s="55" t="n">
        <f aca="false">EventDate</f>
        <v>46702</v>
      </c>
      <c r="E36" s="55" t="n">
        <f aca="false">EventDate+7</f>
        <v>46709</v>
      </c>
      <c r="F36" s="55" t="n">
        <f aca="false">E36+14</f>
        <v>46723</v>
      </c>
      <c r="G36" s="52" t="s">
        <v>157</v>
      </c>
      <c r="H36" s="61" t="n">
        <v>0</v>
      </c>
      <c r="I36" s="52" t="n">
        <f aca="true">IF(E36="","",IF(G36="Done","Done",E36-TODAY()))</f>
        <v>388</v>
      </c>
      <c r="J36" s="61" t="n">
        <f aca="true">IF(OR(D36="",E36=""),"",IF(E36&gt;D36,MAX(0,MIN(1,(TODAY()-D36)/(E36-D36))),IF(TODAY()&gt;=E36,1,0)))</f>
        <v>0</v>
      </c>
      <c r="K36" s="52" t="n">
        <f aca="false">IF(J36="","",ROUND(J36*100-H36*100,0))</f>
        <v>0</v>
      </c>
      <c r="L36" s="62" t="str">
        <f aca="true">IF(OR(D36="",E36=""),"GREY",IF(G36="On hold","GREY",IF(G36="Done","GREEN",IF(E36&lt;TODAY(),"RED",IF(K36&gt;=30,"RED",IF(K36&gt;=15,"AMBER","GREEN"))))))</f>
        <v>GREEN</v>
      </c>
      <c r="M36" s="53" t="s">
        <v>248</v>
      </c>
    </row>
    <row r="37" customFormat="false" ht="43.5" hidden="false" customHeight="true" outlineLevel="0" collapsed="false">
      <c r="A37" s="52" t="n">
        <v>27</v>
      </c>
      <c r="B37" s="53" t="s">
        <v>249</v>
      </c>
      <c r="C37" s="53" t="s">
        <v>200</v>
      </c>
      <c r="D37" s="55" t="n">
        <f aca="false">EventDate+1</f>
        <v>46703</v>
      </c>
      <c r="E37" s="55" t="n">
        <f aca="false">EventDate+29</f>
        <v>46731</v>
      </c>
      <c r="F37" s="55" t="n">
        <f aca="false">E37+14</f>
        <v>46745</v>
      </c>
      <c r="G37" s="52" t="s">
        <v>157</v>
      </c>
      <c r="H37" s="61" t="n">
        <v>0</v>
      </c>
      <c r="I37" s="52" t="n">
        <f aca="true">IF(E37="","",IF(G37="Done","Done",E37-TODAY()))</f>
        <v>410</v>
      </c>
      <c r="J37" s="61" t="n">
        <f aca="true">IF(OR(D37="",E37=""),"",IF(E37&gt;D37,MAX(0,MIN(1,(TODAY()-D37)/(E37-D37))),IF(TODAY()&gt;=E37,1,0)))</f>
        <v>0</v>
      </c>
      <c r="K37" s="52" t="n">
        <f aca="false">IF(J37="","",ROUND(J37*100-H37*100,0))</f>
        <v>0</v>
      </c>
      <c r="L37" s="62" t="str">
        <f aca="true">IF(OR(D37="",E37=""),"GREY",IF(G37="On hold","GREY",IF(G37="Done","GREEN",IF(E37&lt;TODAY(),"RED",IF(K37&gt;=30,"RED",IF(K37&gt;=15,"AMBER","GREEN"))))))</f>
        <v>GREEN</v>
      </c>
      <c r="M37" s="53" t="s">
        <v>250</v>
      </c>
    </row>
  </sheetData>
  <mergeCells count="9">
    <mergeCell ref="A1:M1"/>
    <mergeCell ref="A2:M2"/>
    <mergeCell ref="A3:C3"/>
    <mergeCell ref="A4:M4"/>
    <mergeCell ref="A6:M6"/>
    <mergeCell ref="A10:M10"/>
    <mergeCell ref="A19:M19"/>
    <mergeCell ref="A29:M29"/>
    <mergeCell ref="A33:M33"/>
  </mergeCells>
  <conditionalFormatting sqref="L6:L37">
    <cfRule type="cellIs" priority="2" operator="equal" aboveAverage="0" equalAverage="0" bottom="0" percent="0" rank="0" text="" dxfId="0">
      <formula>"RED"</formula>
    </cfRule>
    <cfRule type="cellIs" priority="3" operator="equal" aboveAverage="0" equalAverage="0" bottom="0" percent="0" rank="0" text="" dxfId="8">
      <formula>"AMBER"</formula>
    </cfRule>
    <cfRule type="cellIs" priority="4" operator="equal" aboveAverage="0" equalAverage="0" bottom="0" percent="0" rank="0" text="" dxfId="9">
      <formula>"GREEN"</formula>
    </cfRule>
    <cfRule type="cellIs" priority="5" operator="equal" aboveAverage="0" equalAverage="0" bottom="0" percent="0" rank="0" text="" dxfId="10">
      <formula>"GREY"</formula>
    </cfRule>
  </conditionalFormatting>
  <conditionalFormatting sqref="G6:G37">
    <cfRule type="cellIs" priority="6" operator="equal" aboveAverage="0" equalAverage="0" bottom="0" percent="0" rank="0" text="" dxfId="3">
      <formula>"Done"</formula>
    </cfRule>
    <cfRule type="cellIs" priority="7" operator="equal" aboveAverage="0" equalAverage="0" bottom="0" percent="0" rank="0" text="" dxfId="11">
      <formula>"In progress"</formula>
    </cfRule>
    <cfRule type="cellIs" priority="8" operator="equal" aboveAverage="0" equalAverage="0" bottom="0" percent="0" rank="0" text="" dxfId="5">
      <formula>"Blocked"</formula>
    </cfRule>
    <cfRule type="cellIs" priority="9" operator="equal" aboveAverage="0" equalAverage="0" bottom="0" percent="0" rank="0" text="" dxfId="12">
      <formula>"On hold"</formula>
    </cfRule>
  </conditionalFormatting>
  <conditionalFormatting sqref="H6:H37">
    <cfRule type="colorScale" priority="10">
      <colorScale>
        <cfvo type="num" val="0"/>
        <cfvo type="num" val="1"/>
        <color rgb="FFFFFFFF"/>
        <color rgb="FFA9D08E"/>
      </colorScale>
    </cfRule>
  </conditionalFormatting>
  <conditionalFormatting sqref="M3">
    <cfRule type="expression" priority="11" aboveAverage="0" equalAverage="0" bottom="0" percent="0" rank="0" text="" dxfId="3">
      <formula>$I$3+$K$3=0</formula>
    </cfRule>
    <cfRule type="expression" priority="12" aboveAverage="0" equalAverage="0" bottom="0" percent="0" rank="0" text="" dxfId="5">
      <formula>$I$3+$K$3&gt;0</formula>
    </cfRule>
  </conditionalFormatting>
  <dataValidations count="2">
    <dataValidation allowBlank="false" error="Enter a value between 0% and 100%." errorStyle="stop" errorTitle="Progress" operator="between" showDropDown="false" showErrorMessage="false" showInputMessage="false" sqref="H6:H37" type="decimal">
      <formula1>0</formula1>
      <formula2>1</formula2>
    </dataValidation>
    <dataValidation allowBlank="false" errorStyle="stop" operator="between" showDropDown="false" showErrorMessage="false" showInputMessage="false" sqref="G6:G37" type="list">
      <formula1>"Not started,In progress,Done,Blocked,On hold"</formula1>
      <formula2>0</formula2>
    </dataValidation>
  </dataValidations>
  <printOptions headings="false" gridLines="false" gridLinesSet="true" horizontalCentered="false" verticalCentered="false"/>
  <pageMargins left="0.4" right="0.4" top="0.5" bottom="0.5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&amp;A  -  page &amp;P of &amp;N  -  PROPOSED date, subject to sponsor approval</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M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22"/>
    <col collapsed="false" customWidth="true" hidden="false" outlineLevel="0" max="4" min="4" style="0" width="12"/>
    <col collapsed="false" customWidth="true" hidden="false" outlineLevel="0" max="5" min="5" style="0" width="13"/>
    <col collapsed="false" customWidth="true" hidden="false" outlineLevel="0" max="7" min="6" style="0" width="12"/>
    <col collapsed="false" customWidth="true" hidden="false" outlineLevel="0" max="8" min="8" style="0" width="10"/>
    <col collapsed="false" customWidth="true" hidden="false" outlineLevel="0" max="10" min="9" style="0" width="8"/>
    <col collapsed="false" customWidth="true" hidden="false" outlineLevel="0" max="12" min="11" style="0" width="9"/>
    <col collapsed="false" customWidth="true" hidden="false" outlineLevel="0" max="13" min="13" style="0" width="62"/>
  </cols>
  <sheetData>
    <row r="1" customFormat="false" ht="27.75" hidden="false" customHeight="true" outlineLevel="0" collapsed="false">
      <c r="A1" s="42" t="s">
        <v>251</v>
      </c>
      <c r="B1" s="42"/>
      <c r="C1" s="42"/>
      <c r="D1" s="42"/>
      <c r="E1" s="42"/>
      <c r="F1" s="42"/>
      <c r="G1" s="42"/>
      <c r="H1" s="42"/>
      <c r="I1" s="42"/>
      <c r="J1" s="42"/>
      <c r="K1" s="42"/>
      <c r="L1" s="42"/>
      <c r="M1" s="42"/>
    </row>
    <row r="2" customFormat="false" ht="19.5" hidden="false" customHeight="true" outlineLevel="0" collapsed="false">
      <c r="A2" s="43" t="s">
        <v>86</v>
      </c>
      <c r="B2" s="43"/>
      <c r="C2" s="43"/>
      <c r="D2" s="43"/>
      <c r="E2" s="43"/>
      <c r="F2" s="43"/>
      <c r="G2" s="43"/>
      <c r="H2" s="43"/>
      <c r="I2" s="43"/>
      <c r="J2" s="43"/>
      <c r="K2" s="43"/>
      <c r="L2" s="43"/>
      <c r="M2" s="43"/>
    </row>
    <row r="3" customFormat="false" ht="19.5" hidden="false" customHeight="true" outlineLevel="0" collapsed="false">
      <c r="A3" s="56" t="s">
        <v>252</v>
      </c>
      <c r="B3" s="56"/>
      <c r="C3" s="56"/>
      <c r="D3" s="57" t="s">
        <v>16</v>
      </c>
      <c r="E3" s="57" t="n">
        <f aca="false">COUNT(A6:A30)</f>
        <v>20</v>
      </c>
      <c r="F3" s="57" t="s">
        <v>17</v>
      </c>
      <c r="G3" s="57" t="n">
        <f aca="false">COUNTIF(G6:G30,"Done")</f>
        <v>0</v>
      </c>
      <c r="H3" s="57" t="s">
        <v>19</v>
      </c>
      <c r="I3" s="57" t="n">
        <f aca="false">COUNTIF(L6:L30,"RED")</f>
        <v>0</v>
      </c>
      <c r="J3" s="57" t="s">
        <v>20</v>
      </c>
      <c r="K3" s="57" t="n">
        <f aca="false">COUNTIF(L6:L30,"AMBER")</f>
        <v>0</v>
      </c>
      <c r="L3" s="57" t="s">
        <v>141</v>
      </c>
      <c r="M3" s="58" t="str">
        <f aca="false" t="array" ref="M3:M3">IF(I3+K3=0,"Nothing behind schedule",_xlfn.TEXTJOIN(", ",TRUE(),IF((L6:L30="RED")+(L6:L30="AMBER"),"#"&amp;A6:A30,"")))</f>
        <v>Nothing behind schedule</v>
      </c>
    </row>
    <row r="4" customFormat="false" ht="25.5" hidden="false" customHeight="true" outlineLevel="0" collapsed="false">
      <c r="A4" s="59" t="s">
        <v>142</v>
      </c>
      <c r="B4" s="59"/>
      <c r="C4" s="59"/>
      <c r="D4" s="59"/>
      <c r="E4" s="59"/>
      <c r="F4" s="59"/>
      <c r="G4" s="59"/>
      <c r="H4" s="59"/>
      <c r="I4" s="59"/>
      <c r="J4" s="59"/>
      <c r="K4" s="59"/>
      <c r="L4" s="59"/>
      <c r="M4" s="59"/>
    </row>
    <row r="5" customFormat="false" ht="31.5" hidden="false" customHeight="true" outlineLevel="0" collapsed="false">
      <c r="A5" s="10" t="s">
        <v>143</v>
      </c>
      <c r="B5" s="10" t="s">
        <v>144</v>
      </c>
      <c r="C5" s="10" t="s">
        <v>145</v>
      </c>
      <c r="D5" s="10" t="s">
        <v>146</v>
      </c>
      <c r="E5" s="10" t="s">
        <v>147</v>
      </c>
      <c r="F5" s="10" t="s">
        <v>148</v>
      </c>
      <c r="G5" s="10" t="s">
        <v>23</v>
      </c>
      <c r="H5" s="10" t="s">
        <v>149</v>
      </c>
      <c r="I5" s="10" t="s">
        <v>150</v>
      </c>
      <c r="J5" s="10" t="s">
        <v>151</v>
      </c>
      <c r="K5" s="10" t="s">
        <v>152</v>
      </c>
      <c r="L5" s="10" t="s">
        <v>153</v>
      </c>
      <c r="M5" s="10" t="s">
        <v>154</v>
      </c>
    </row>
    <row r="6" customFormat="false" ht="18" hidden="false" customHeight="true" outlineLevel="0" collapsed="false">
      <c r="A6" s="60" t="s">
        <v>155</v>
      </c>
      <c r="B6" s="60"/>
      <c r="C6" s="60"/>
      <c r="D6" s="60"/>
      <c r="E6" s="60"/>
      <c r="F6" s="60"/>
      <c r="G6" s="60"/>
      <c r="H6" s="60"/>
      <c r="I6" s="60"/>
      <c r="J6" s="60"/>
      <c r="K6" s="60"/>
      <c r="L6" s="60"/>
      <c r="M6" s="60"/>
    </row>
    <row r="7" customFormat="false" ht="30" hidden="false" customHeight="true" outlineLevel="0" collapsed="false">
      <c r="A7" s="52" t="n">
        <v>1</v>
      </c>
      <c r="B7" s="53" t="s">
        <v>253</v>
      </c>
      <c r="C7" s="53" t="s">
        <v>254</v>
      </c>
      <c r="D7" s="55" t="n">
        <v>46321</v>
      </c>
      <c r="E7" s="55" t="n">
        <v>46346</v>
      </c>
      <c r="F7" s="55" t="n">
        <f aca="false">E7+14</f>
        <v>46360</v>
      </c>
      <c r="G7" s="52" t="s">
        <v>157</v>
      </c>
      <c r="H7" s="61" t="n">
        <v>0</v>
      </c>
      <c r="I7" s="52" t="n">
        <f aca="true">IF(E7="","",IF(G7="Done","Done",E7-TODAY()))</f>
        <v>25</v>
      </c>
      <c r="J7" s="61" t="n">
        <f aca="true">IF(OR(D7="",E7=""),"",IF(E7&gt;D7,MAX(0,MIN(1,(TODAY()-D7)/(E7-D7))),IF(TODAY()&gt;=E7,1,0)))</f>
        <v>0</v>
      </c>
      <c r="K7" s="52" t="n">
        <f aca="false">IF(J7="","",ROUND(J7*100-H7*100,0))</f>
        <v>0</v>
      </c>
      <c r="L7" s="62" t="str">
        <f aca="true">IF(OR(D7="",E7=""),"GREY",IF(G7="On hold","GREY",IF(G7="Done","GREEN",IF(E7&lt;TODAY(),"RED",IF(K7&gt;=30,"RED",IF(K7&gt;=15,"AMBER","GREEN"))))))</f>
        <v>GREEN</v>
      </c>
      <c r="M7" s="53" t="s">
        <v>255</v>
      </c>
    </row>
    <row r="8" customFormat="false" ht="30" hidden="false" customHeight="true" outlineLevel="0" collapsed="false">
      <c r="A8" s="52" t="n">
        <v>2</v>
      </c>
      <c r="B8" s="53" t="s">
        <v>256</v>
      </c>
      <c r="C8" s="53" t="s">
        <v>28</v>
      </c>
      <c r="D8" s="55" t="n">
        <v>46328</v>
      </c>
      <c r="E8" s="55" t="n">
        <v>46374</v>
      </c>
      <c r="F8" s="55" t="n">
        <f aca="false">E8+14</f>
        <v>46388</v>
      </c>
      <c r="G8" s="52" t="s">
        <v>157</v>
      </c>
      <c r="H8" s="61" t="n">
        <v>0</v>
      </c>
      <c r="I8" s="52" t="n">
        <f aca="true">IF(E8="","",IF(G8="Done","Done",E8-TODAY()))</f>
        <v>53</v>
      </c>
      <c r="J8" s="61" t="n">
        <f aca="true">IF(OR(D8="",E8=""),"",IF(E8&gt;D8,MAX(0,MIN(1,(TODAY()-D8)/(E8-D8))),IF(TODAY()&gt;=E8,1,0)))</f>
        <v>0</v>
      </c>
      <c r="K8" s="52" t="n">
        <f aca="false">IF(J8="","",ROUND(J8*100-H8*100,0))</f>
        <v>0</v>
      </c>
      <c r="L8" s="62" t="str">
        <f aca="true">IF(OR(D8="",E8=""),"GREY",IF(G8="On hold","GREY",IF(G8="Done","GREEN",IF(E8&lt;TODAY(),"RED",IF(K8&gt;=30,"RED",IF(K8&gt;=15,"AMBER","GREEN"))))))</f>
        <v>GREEN</v>
      </c>
      <c r="M8" s="53" t="s">
        <v>257</v>
      </c>
    </row>
    <row r="9" customFormat="false" ht="16.5" hidden="false" customHeight="true" outlineLevel="0" collapsed="false">
      <c r="A9" s="52" t="n">
        <v>3</v>
      </c>
      <c r="B9" s="53" t="s">
        <v>258</v>
      </c>
      <c r="C9" s="53" t="s">
        <v>28</v>
      </c>
      <c r="D9" s="55" t="n">
        <v>46342</v>
      </c>
      <c r="E9" s="55" t="n">
        <v>46360</v>
      </c>
      <c r="F9" s="55" t="n">
        <f aca="false">E9+14</f>
        <v>46374</v>
      </c>
      <c r="G9" s="52" t="s">
        <v>157</v>
      </c>
      <c r="H9" s="61" t="n">
        <v>0</v>
      </c>
      <c r="I9" s="52" t="n">
        <f aca="true">IF(E9="","",IF(G9="Done","Done",E9-TODAY()))</f>
        <v>39</v>
      </c>
      <c r="J9" s="61" t="n">
        <f aca="true">IF(OR(D9="",E9=""),"",IF(E9&gt;D9,MAX(0,MIN(1,(TODAY()-D9)/(E9-D9))),IF(TODAY()&gt;=E9,1,0)))</f>
        <v>0</v>
      </c>
      <c r="K9" s="52" t="n">
        <f aca="false">IF(J9="","",ROUND(J9*100-H9*100,0))</f>
        <v>0</v>
      </c>
      <c r="L9" s="62" t="str">
        <f aca="true">IF(OR(D9="",E9=""),"GREY",IF(G9="On hold","GREY",IF(G9="Done","GREEN",IF(E9&lt;TODAY(),"RED",IF(K9&gt;=30,"RED",IF(K9&gt;=15,"AMBER","GREEN"))))))</f>
        <v>GREEN</v>
      </c>
      <c r="M9" s="53" t="s">
        <v>259</v>
      </c>
    </row>
    <row r="10" customFormat="false" ht="30" hidden="false" customHeight="true" outlineLevel="0" collapsed="false">
      <c r="A10" s="52" t="n">
        <v>4</v>
      </c>
      <c r="B10" s="53" t="s">
        <v>260</v>
      </c>
      <c r="C10" s="53" t="s">
        <v>261</v>
      </c>
      <c r="D10" s="55" t="n">
        <v>46363</v>
      </c>
      <c r="E10" s="55" t="n">
        <v>46416</v>
      </c>
      <c r="F10" s="55" t="n">
        <f aca="false">E10+14</f>
        <v>46430</v>
      </c>
      <c r="G10" s="52" t="s">
        <v>157</v>
      </c>
      <c r="H10" s="61" t="n">
        <v>0</v>
      </c>
      <c r="I10" s="52" t="n">
        <f aca="true">IF(E10="","",IF(G10="Done","Done",E10-TODAY()))</f>
        <v>95</v>
      </c>
      <c r="J10" s="61" t="n">
        <f aca="true">IF(OR(D10="",E10=""),"",IF(E10&gt;D10,MAX(0,MIN(1,(TODAY()-D10)/(E10-D10))),IF(TODAY()&gt;=E10,1,0)))</f>
        <v>0</v>
      </c>
      <c r="K10" s="52" t="n">
        <f aca="false">IF(J10="","",ROUND(J10*100-H10*100,0))</f>
        <v>0</v>
      </c>
      <c r="L10" s="62" t="str">
        <f aca="true">IF(OR(D10="",E10=""),"GREY",IF(G10="On hold","GREY",IF(G10="Done","GREEN",IF(E10&lt;TODAY(),"RED",IF(K10&gt;=30,"RED",IF(K10&gt;=15,"AMBER","GREEN"))))))</f>
        <v>GREEN</v>
      </c>
      <c r="M10" s="53" t="s">
        <v>262</v>
      </c>
    </row>
    <row r="11" customFormat="false" ht="18" hidden="false" customHeight="true" outlineLevel="0" collapsed="false">
      <c r="A11" s="60" t="s">
        <v>171</v>
      </c>
      <c r="B11" s="60"/>
      <c r="C11" s="60"/>
      <c r="D11" s="60"/>
      <c r="E11" s="60"/>
      <c r="F11" s="60"/>
      <c r="G11" s="60"/>
      <c r="H11" s="60"/>
      <c r="I11" s="60"/>
      <c r="J11" s="60"/>
      <c r="K11" s="60"/>
      <c r="L11" s="60"/>
      <c r="M11" s="60"/>
    </row>
    <row r="12" customFormat="false" ht="43.5" hidden="false" customHeight="true" outlineLevel="0" collapsed="false">
      <c r="A12" s="52" t="n">
        <v>5</v>
      </c>
      <c r="B12" s="53" t="s">
        <v>263</v>
      </c>
      <c r="C12" s="53" t="s">
        <v>261</v>
      </c>
      <c r="D12" s="55" t="n">
        <v>46391</v>
      </c>
      <c r="E12" s="55" t="n">
        <v>46477</v>
      </c>
      <c r="F12" s="55" t="n">
        <f aca="false">E12+14</f>
        <v>46491</v>
      </c>
      <c r="G12" s="52" t="s">
        <v>157</v>
      </c>
      <c r="H12" s="61" t="n">
        <v>0</v>
      </c>
      <c r="I12" s="52" t="n">
        <f aca="true">IF(E12="","",IF(G12="Done","Done",E12-TODAY()))</f>
        <v>156</v>
      </c>
      <c r="J12" s="61" t="n">
        <f aca="true">IF(OR(D12="",E12=""),"",IF(E12&gt;D12,MAX(0,MIN(1,(TODAY()-D12)/(E12-D12))),IF(TODAY()&gt;=E12,1,0)))</f>
        <v>0</v>
      </c>
      <c r="K12" s="52" t="n">
        <f aca="false">IF(J12="","",ROUND(J12*100-H12*100,0))</f>
        <v>0</v>
      </c>
      <c r="L12" s="62" t="str">
        <f aca="true">IF(OR(D12="",E12=""),"GREY",IF(G12="On hold","GREY",IF(G12="Done","GREEN",IF(E12&lt;TODAY(),"RED",IF(K12&gt;=30,"RED",IF(K12&gt;=15,"AMBER","GREEN"))))))</f>
        <v>GREEN</v>
      </c>
      <c r="M12" s="53" t="s">
        <v>264</v>
      </c>
    </row>
    <row r="13" customFormat="false" ht="30" hidden="false" customHeight="true" outlineLevel="0" collapsed="false">
      <c r="A13" s="52" t="n">
        <v>6</v>
      </c>
      <c r="B13" s="53" t="s">
        <v>265</v>
      </c>
      <c r="C13" s="53" t="s">
        <v>266</v>
      </c>
      <c r="D13" s="55" t="n">
        <v>46447</v>
      </c>
      <c r="E13" s="55" t="n">
        <f aca="false">EventDate-134</f>
        <v>46568</v>
      </c>
      <c r="F13" s="55" t="n">
        <f aca="false">E13+14</f>
        <v>46582</v>
      </c>
      <c r="G13" s="52" t="s">
        <v>157</v>
      </c>
      <c r="H13" s="61" t="n">
        <v>0</v>
      </c>
      <c r="I13" s="52" t="n">
        <f aca="true">IF(E13="","",IF(G13="Done","Done",E13-TODAY()))</f>
        <v>247</v>
      </c>
      <c r="J13" s="61" t="n">
        <f aca="true">IF(OR(D13="",E13=""),"",IF(E13&gt;D13,MAX(0,MIN(1,(TODAY()-D13)/(E13-D13))),IF(TODAY()&gt;=E13,1,0)))</f>
        <v>0</v>
      </c>
      <c r="K13" s="52" t="n">
        <f aca="false">IF(J13="","",ROUND(J13*100-H13*100,0))</f>
        <v>0</v>
      </c>
      <c r="L13" s="62" t="str">
        <f aca="true">IF(OR(D13="",E13=""),"GREY",IF(G13="On hold","GREY",IF(G13="Done","GREEN",IF(E13&lt;TODAY(),"RED",IF(K13&gt;=30,"RED",IF(K13&gt;=15,"AMBER","GREEN"))))))</f>
        <v>GREEN</v>
      </c>
      <c r="M13" s="53" t="s">
        <v>267</v>
      </c>
    </row>
    <row r="14" customFormat="false" ht="43.5" hidden="false" customHeight="true" outlineLevel="0" collapsed="false">
      <c r="A14" s="52" t="n">
        <v>7</v>
      </c>
      <c r="B14" s="53" t="s">
        <v>268</v>
      </c>
      <c r="C14" s="53" t="s">
        <v>261</v>
      </c>
      <c r="D14" s="55" t="n">
        <f aca="false">EventDate-220</f>
        <v>46482</v>
      </c>
      <c r="E14" s="55" t="n">
        <f aca="false">EventDate-76</f>
        <v>46626</v>
      </c>
      <c r="F14" s="55" t="n">
        <f aca="false">E14+14</f>
        <v>46640</v>
      </c>
      <c r="G14" s="52" t="s">
        <v>157</v>
      </c>
      <c r="H14" s="61" t="n">
        <v>0</v>
      </c>
      <c r="I14" s="52" t="n">
        <f aca="true">IF(E14="","",IF(G14="Done","Done",E14-TODAY()))</f>
        <v>305</v>
      </c>
      <c r="J14" s="61" t="n">
        <f aca="true">IF(OR(D14="",E14=""),"",IF(E14&gt;D14,MAX(0,MIN(1,(TODAY()-D14)/(E14-D14))),IF(TODAY()&gt;=E14,1,0)))</f>
        <v>0</v>
      </c>
      <c r="K14" s="52" t="n">
        <f aca="false">IF(J14="","",ROUND(J14*100-H14*100,0))</f>
        <v>0</v>
      </c>
      <c r="L14" s="62" t="str">
        <f aca="true">IF(OR(D14="",E14=""),"GREY",IF(G14="On hold","GREY",IF(G14="Done","GREEN",IF(E14&lt;TODAY(),"RED",IF(K14&gt;=30,"RED",IF(K14&gt;=15,"AMBER","GREEN"))))))</f>
        <v>GREEN</v>
      </c>
      <c r="M14" s="53" t="s">
        <v>269</v>
      </c>
    </row>
    <row r="15" customFormat="false" ht="43.5" hidden="false" customHeight="true" outlineLevel="0" collapsed="false">
      <c r="A15" s="52" t="n">
        <v>8</v>
      </c>
      <c r="B15" s="53" t="s">
        <v>270</v>
      </c>
      <c r="C15" s="53" t="s">
        <v>261</v>
      </c>
      <c r="D15" s="55" t="n">
        <f aca="false">EventDate-192</f>
        <v>46510</v>
      </c>
      <c r="E15" s="55" t="n">
        <f aca="false">EventDate-134</f>
        <v>46568</v>
      </c>
      <c r="F15" s="55" t="n">
        <f aca="false">E15+14</f>
        <v>46582</v>
      </c>
      <c r="G15" s="52" t="s">
        <v>157</v>
      </c>
      <c r="H15" s="61" t="n">
        <v>0</v>
      </c>
      <c r="I15" s="52" t="n">
        <f aca="true">IF(E15="","",IF(G15="Done","Done",E15-TODAY()))</f>
        <v>247</v>
      </c>
      <c r="J15" s="61" t="n">
        <f aca="true">IF(OR(D15="",E15=""),"",IF(E15&gt;D15,MAX(0,MIN(1,(TODAY()-D15)/(E15-D15))),IF(TODAY()&gt;=E15,1,0)))</f>
        <v>0</v>
      </c>
      <c r="K15" s="52" t="n">
        <f aca="false">IF(J15="","",ROUND(J15*100-H15*100,0))</f>
        <v>0</v>
      </c>
      <c r="L15" s="62" t="str">
        <f aca="true">IF(OR(D15="",E15=""),"GREY",IF(G15="On hold","GREY",IF(G15="Done","GREEN",IF(E15&lt;TODAY(),"RED",IF(K15&gt;=30,"RED",IF(K15&gt;=15,"AMBER","GREEN"))))))</f>
        <v>GREEN</v>
      </c>
      <c r="M15" s="53" t="s">
        <v>271</v>
      </c>
    </row>
    <row r="16" customFormat="false" ht="30" hidden="false" customHeight="true" outlineLevel="0" collapsed="false">
      <c r="A16" s="52" t="n">
        <v>9</v>
      </c>
      <c r="B16" s="53" t="s">
        <v>272</v>
      </c>
      <c r="C16" s="53" t="s">
        <v>261</v>
      </c>
      <c r="D16" s="55" t="n">
        <f aca="false">EventDate-163</f>
        <v>46539</v>
      </c>
      <c r="E16" s="55" t="n">
        <f aca="false">EventDate-90</f>
        <v>46612</v>
      </c>
      <c r="F16" s="55" t="n">
        <f aca="false">E16+14</f>
        <v>46626</v>
      </c>
      <c r="G16" s="52" t="s">
        <v>157</v>
      </c>
      <c r="H16" s="61" t="n">
        <v>0</v>
      </c>
      <c r="I16" s="52" t="n">
        <f aca="true">IF(E16="","",IF(G16="Done","Done",E16-TODAY()))</f>
        <v>291</v>
      </c>
      <c r="J16" s="61" t="n">
        <f aca="true">IF(OR(D16="",E16=""),"",IF(E16&gt;D16,MAX(0,MIN(1,(TODAY()-D16)/(E16-D16))),IF(TODAY()&gt;=E16,1,0)))</f>
        <v>0</v>
      </c>
      <c r="K16" s="52" t="n">
        <f aca="false">IF(J16="","",ROUND(J16*100-H16*100,0))</f>
        <v>0</v>
      </c>
      <c r="L16" s="62" t="str">
        <f aca="true">IF(OR(D16="",E16=""),"GREY",IF(G16="On hold","GREY",IF(G16="Done","GREEN",IF(E16&lt;TODAY(),"RED",IF(K16&gt;=30,"RED",IF(K16&gt;=15,"AMBER","GREEN"))))))</f>
        <v>GREEN</v>
      </c>
      <c r="M16" s="53" t="s">
        <v>273</v>
      </c>
    </row>
    <row r="17" customFormat="false" ht="30" hidden="false" customHeight="true" outlineLevel="0" collapsed="false">
      <c r="A17" s="52" t="n">
        <v>10</v>
      </c>
      <c r="B17" s="53" t="s">
        <v>274</v>
      </c>
      <c r="C17" s="53" t="s">
        <v>275</v>
      </c>
      <c r="D17" s="55" t="n">
        <f aca="false">EventDate-163</f>
        <v>46539</v>
      </c>
      <c r="E17" s="55" t="n">
        <f aca="false">EventDate-76</f>
        <v>46626</v>
      </c>
      <c r="F17" s="55" t="n">
        <f aca="false">E17+14</f>
        <v>46640</v>
      </c>
      <c r="G17" s="52" t="s">
        <v>157</v>
      </c>
      <c r="H17" s="61" t="n">
        <v>0</v>
      </c>
      <c r="I17" s="52" t="n">
        <f aca="true">IF(E17="","",IF(G17="Done","Done",E17-TODAY()))</f>
        <v>305</v>
      </c>
      <c r="J17" s="61" t="n">
        <f aca="true">IF(OR(D17="",E17=""),"",IF(E17&gt;D17,MAX(0,MIN(1,(TODAY()-D17)/(E17-D17))),IF(TODAY()&gt;=E17,1,0)))</f>
        <v>0</v>
      </c>
      <c r="K17" s="52" t="n">
        <f aca="false">IF(J17="","",ROUND(J17*100-H17*100,0))</f>
        <v>0</v>
      </c>
      <c r="L17" s="62" t="str">
        <f aca="true">IF(OR(D17="",E17=""),"GREY",IF(G17="On hold","GREY",IF(G17="Done","GREEN",IF(E17&lt;TODAY(),"RED",IF(K17&gt;=30,"RED",IF(K17&gt;=15,"AMBER","GREEN"))))))</f>
        <v>GREEN</v>
      </c>
      <c r="M17" s="53" t="s">
        <v>276</v>
      </c>
    </row>
    <row r="18" customFormat="false" ht="18" hidden="false" customHeight="true" outlineLevel="0" collapsed="false">
      <c r="A18" s="60" t="s">
        <v>179</v>
      </c>
      <c r="B18" s="60"/>
      <c r="C18" s="60"/>
      <c r="D18" s="60"/>
      <c r="E18" s="60"/>
      <c r="F18" s="60"/>
      <c r="G18" s="60"/>
      <c r="H18" s="60"/>
      <c r="I18" s="60"/>
      <c r="J18" s="60"/>
      <c r="K18" s="60"/>
      <c r="L18" s="60"/>
      <c r="M18" s="60"/>
    </row>
    <row r="19" customFormat="false" ht="30" hidden="false" customHeight="true" outlineLevel="0" collapsed="false">
      <c r="A19" s="52" t="n">
        <v>11</v>
      </c>
      <c r="B19" s="53" t="s">
        <v>277</v>
      </c>
      <c r="C19" s="53" t="s">
        <v>261</v>
      </c>
      <c r="D19" s="55" t="n">
        <f aca="false">EventDate-129</f>
        <v>46573</v>
      </c>
      <c r="E19" s="55" t="n">
        <f aca="false">EventDate-48</f>
        <v>46654</v>
      </c>
      <c r="F19" s="55" t="n">
        <f aca="false">E19+14</f>
        <v>46668</v>
      </c>
      <c r="G19" s="52" t="s">
        <v>157</v>
      </c>
      <c r="H19" s="61" t="n">
        <v>0</v>
      </c>
      <c r="I19" s="52" t="n">
        <f aca="true">IF(E19="","",IF(G19="Done","Done",E19-TODAY()))</f>
        <v>333</v>
      </c>
      <c r="J19" s="61" t="n">
        <f aca="true">IF(OR(D19="",E19=""),"",IF(E19&gt;D19,MAX(0,MIN(1,(TODAY()-D19)/(E19-D19))),IF(TODAY()&gt;=E19,1,0)))</f>
        <v>0</v>
      </c>
      <c r="K19" s="52" t="n">
        <f aca="false">IF(J19="","",ROUND(J19*100-H19*100,0))</f>
        <v>0</v>
      </c>
      <c r="L19" s="62" t="str">
        <f aca="true">IF(OR(D19="",E19=""),"GREY",IF(G19="On hold","GREY",IF(G19="Done","GREEN",IF(E19&lt;TODAY(),"RED",IF(K19&gt;=30,"RED",IF(K19&gt;=15,"AMBER","GREEN"))))))</f>
        <v>GREEN</v>
      </c>
      <c r="M19" s="53" t="s">
        <v>278</v>
      </c>
    </row>
    <row r="20" customFormat="false" ht="30" hidden="false" customHeight="true" outlineLevel="0" collapsed="false">
      <c r="A20" s="52" t="n">
        <v>12</v>
      </c>
      <c r="B20" s="53" t="s">
        <v>279</v>
      </c>
      <c r="C20" s="53" t="s">
        <v>261</v>
      </c>
      <c r="D20" s="55" t="n">
        <f aca="false">EventDate-101</f>
        <v>46601</v>
      </c>
      <c r="E20" s="55" t="n">
        <f aca="false">EventDate-62</f>
        <v>46640</v>
      </c>
      <c r="F20" s="55" t="n">
        <f aca="false">E20+14</f>
        <v>46654</v>
      </c>
      <c r="G20" s="52" t="s">
        <v>157</v>
      </c>
      <c r="H20" s="61" t="n">
        <v>0</v>
      </c>
      <c r="I20" s="52" t="n">
        <f aca="true">IF(E20="","",IF(G20="Done","Done",E20-TODAY()))</f>
        <v>319</v>
      </c>
      <c r="J20" s="61" t="n">
        <f aca="true">IF(OR(D20="",E20=""),"",IF(E20&gt;D20,MAX(0,MIN(1,(TODAY()-D20)/(E20-D20))),IF(TODAY()&gt;=E20,1,0)))</f>
        <v>0</v>
      </c>
      <c r="K20" s="52" t="n">
        <f aca="false">IF(J20="","",ROUND(J20*100-H20*100,0))</f>
        <v>0</v>
      </c>
      <c r="L20" s="62" t="str">
        <f aca="true">IF(OR(D20="",E20=""),"GREY",IF(G20="On hold","GREY",IF(G20="Done","GREEN",IF(E20&lt;TODAY(),"RED",IF(K20&gt;=30,"RED",IF(K20&gt;=15,"AMBER","GREEN"))))))</f>
        <v>GREEN</v>
      </c>
      <c r="M20" s="53" t="s">
        <v>280</v>
      </c>
    </row>
    <row r="21" customFormat="false" ht="16.5" hidden="false" customHeight="true" outlineLevel="0" collapsed="false">
      <c r="A21" s="52" t="n">
        <v>13</v>
      </c>
      <c r="B21" s="53" t="s">
        <v>281</v>
      </c>
      <c r="C21" s="53" t="s">
        <v>261</v>
      </c>
      <c r="D21" s="55" t="n">
        <f aca="false">EventDate-101</f>
        <v>46601</v>
      </c>
      <c r="E21" s="55" t="n">
        <f aca="false">EventDate-48</f>
        <v>46654</v>
      </c>
      <c r="F21" s="55" t="n">
        <f aca="false">E21+14</f>
        <v>46668</v>
      </c>
      <c r="G21" s="52" t="s">
        <v>157</v>
      </c>
      <c r="H21" s="61" t="n">
        <v>0</v>
      </c>
      <c r="I21" s="52" t="n">
        <f aca="true">IF(E21="","",IF(G21="Done","Done",E21-TODAY()))</f>
        <v>333</v>
      </c>
      <c r="J21" s="61" t="n">
        <f aca="true">IF(OR(D21="",E21=""),"",IF(E21&gt;D21,MAX(0,MIN(1,(TODAY()-D21)/(E21-D21))),IF(TODAY()&gt;=E21,1,0)))</f>
        <v>0</v>
      </c>
      <c r="K21" s="52" t="n">
        <f aca="false">IF(J21="","",ROUND(J21*100-H21*100,0))</f>
        <v>0</v>
      </c>
      <c r="L21" s="62" t="str">
        <f aca="true">IF(OR(D21="",E21=""),"GREY",IF(G21="On hold","GREY",IF(G21="Done","GREEN",IF(E21&lt;TODAY(),"RED",IF(K21&gt;=30,"RED",IF(K21&gt;=15,"AMBER","GREEN"))))))</f>
        <v>GREEN</v>
      </c>
      <c r="M21" s="53" t="s">
        <v>282</v>
      </c>
    </row>
    <row r="22" customFormat="false" ht="30" hidden="false" customHeight="true" outlineLevel="0" collapsed="false">
      <c r="A22" s="52" t="n">
        <v>14</v>
      </c>
      <c r="B22" s="53" t="s">
        <v>283</v>
      </c>
      <c r="C22" s="53" t="s">
        <v>261</v>
      </c>
      <c r="D22" s="55" t="n">
        <f aca="false">EventDate-87</f>
        <v>46615</v>
      </c>
      <c r="E22" s="55" t="n">
        <f aca="false">EventDate-55</f>
        <v>46647</v>
      </c>
      <c r="F22" s="55" t="n">
        <f aca="false">E22+14</f>
        <v>46661</v>
      </c>
      <c r="G22" s="52" t="s">
        <v>157</v>
      </c>
      <c r="H22" s="61" t="n">
        <v>0</v>
      </c>
      <c r="I22" s="52" t="n">
        <f aca="true">IF(E22="","",IF(G22="Done","Done",E22-TODAY()))</f>
        <v>326</v>
      </c>
      <c r="J22" s="61" t="n">
        <f aca="true">IF(OR(D22="",E22=""),"",IF(E22&gt;D22,MAX(0,MIN(1,(TODAY()-D22)/(E22-D22))),IF(TODAY()&gt;=E22,1,0)))</f>
        <v>0</v>
      </c>
      <c r="K22" s="52" t="n">
        <f aca="false">IF(J22="","",ROUND(J22*100-H22*100,0))</f>
        <v>0</v>
      </c>
      <c r="L22" s="62" t="str">
        <f aca="true">IF(OR(D22="",E22=""),"GREY",IF(G22="On hold","GREY",IF(G22="Done","GREEN",IF(E22&lt;TODAY(),"RED",IF(K22&gt;=30,"RED",IF(K22&gt;=15,"AMBER","GREEN"))))))</f>
        <v>GREEN</v>
      </c>
      <c r="M22" s="53" t="s">
        <v>273</v>
      </c>
    </row>
    <row r="23" customFormat="false" ht="16.5" hidden="false" customHeight="true" outlineLevel="0" collapsed="false">
      <c r="A23" s="52" t="n">
        <v>15</v>
      </c>
      <c r="B23" s="53" t="s">
        <v>284</v>
      </c>
      <c r="C23" s="53" t="s">
        <v>261</v>
      </c>
      <c r="D23" s="55" t="n">
        <f aca="false">EventDate-45</f>
        <v>46657</v>
      </c>
      <c r="E23" s="55" t="n">
        <f aca="false">EventDate-42</f>
        <v>46660</v>
      </c>
      <c r="F23" s="55" t="n">
        <f aca="false">E23+14</f>
        <v>46674</v>
      </c>
      <c r="G23" s="52" t="s">
        <v>157</v>
      </c>
      <c r="H23" s="61" t="n">
        <v>0</v>
      </c>
      <c r="I23" s="52" t="n">
        <f aca="true">IF(E23="","",IF(G23="Done","Done",E23-TODAY()))</f>
        <v>339</v>
      </c>
      <c r="J23" s="61" t="n">
        <f aca="true">IF(OR(D23="",E23=""),"",IF(E23&gt;D23,MAX(0,MIN(1,(TODAY()-D23)/(E23-D23))),IF(TODAY()&gt;=E23,1,0)))</f>
        <v>0</v>
      </c>
      <c r="K23" s="52" t="n">
        <f aca="false">IF(J23="","",ROUND(J23*100-H23*100,0))</f>
        <v>0</v>
      </c>
      <c r="L23" s="62" t="str">
        <f aca="true">IF(OR(D23="",E23=""),"GREY",IF(G23="On hold","GREY",IF(G23="Done","GREEN",IF(E23&lt;TODAY(),"RED",IF(K23&gt;=30,"RED",IF(K23&gt;=15,"AMBER","GREEN"))))))</f>
        <v>GREEN</v>
      </c>
      <c r="M23" s="53" t="s">
        <v>237</v>
      </c>
    </row>
    <row r="24" customFormat="false" ht="18" hidden="false" customHeight="true" outlineLevel="0" collapsed="false">
      <c r="A24" s="63" t="s">
        <v>185</v>
      </c>
      <c r="B24" s="63"/>
      <c r="C24" s="63"/>
      <c r="D24" s="63"/>
      <c r="E24" s="63"/>
      <c r="F24" s="63"/>
      <c r="G24" s="63"/>
      <c r="H24" s="63"/>
      <c r="I24" s="63"/>
      <c r="J24" s="63"/>
      <c r="K24" s="63"/>
      <c r="L24" s="63"/>
      <c r="M24" s="63"/>
    </row>
    <row r="25" customFormat="false" ht="30" hidden="false" customHeight="true" outlineLevel="0" collapsed="false">
      <c r="A25" s="64" t="n">
        <v>16</v>
      </c>
      <c r="B25" s="65" t="s">
        <v>285</v>
      </c>
      <c r="C25" s="65" t="s">
        <v>261</v>
      </c>
      <c r="D25" s="66" t="n">
        <f aca="false">EventDate-24</f>
        <v>46678</v>
      </c>
      <c r="E25" s="66" t="n">
        <f aca="false">EventDate-13</f>
        <v>46689</v>
      </c>
      <c r="F25" s="66" t="n">
        <f aca="false">E25</f>
        <v>46689</v>
      </c>
      <c r="G25" s="64" t="s">
        <v>157</v>
      </c>
      <c r="H25" s="67" t="n">
        <v>0</v>
      </c>
      <c r="I25" s="64" t="n">
        <f aca="true">IF(E25="","",IF(G25="Done","Done",E25-TODAY()))</f>
        <v>368</v>
      </c>
      <c r="J25" s="67" t="n">
        <f aca="true">IF(OR(D25="",E25=""),"",IF(E25&gt;D25,MAX(0,MIN(1,(TODAY()-D25)/(E25-D25))),IF(TODAY()&gt;=E25,1,0)))</f>
        <v>0</v>
      </c>
      <c r="K25" s="64" t="n">
        <f aca="false">IF(J25="","",ROUND(J25*100-H25*100,0))</f>
        <v>0</v>
      </c>
      <c r="L25" s="68" t="str">
        <f aca="true">IF(OR(D25="",E25=""),"GREY",IF(G25="On hold","GREY",IF(G25="Done","GREEN",IF(E25&lt;TODAY(),"RED",IF(K25&gt;=30,"RED",IF(K25&gt;=15,"AMBER","GREEN"))))))</f>
        <v>GREEN</v>
      </c>
      <c r="M25" s="65" t="s">
        <v>286</v>
      </c>
    </row>
    <row r="26" customFormat="false" ht="43.5" hidden="false" customHeight="true" outlineLevel="0" collapsed="false">
      <c r="A26" s="64" t="n">
        <v>17</v>
      </c>
      <c r="B26" s="65" t="s">
        <v>287</v>
      </c>
      <c r="C26" s="65" t="s">
        <v>261</v>
      </c>
      <c r="D26" s="66" t="n">
        <f aca="false">EventDate-17</f>
        <v>46685</v>
      </c>
      <c r="E26" s="66" t="n">
        <f aca="false">EventDate-8</f>
        <v>46694</v>
      </c>
      <c r="F26" s="66" t="n">
        <f aca="false">E26</f>
        <v>46694</v>
      </c>
      <c r="G26" s="64" t="s">
        <v>157</v>
      </c>
      <c r="H26" s="67" t="n">
        <v>0</v>
      </c>
      <c r="I26" s="64" t="n">
        <f aca="true">IF(E26="","",IF(G26="Done","Done",E26-TODAY()))</f>
        <v>373</v>
      </c>
      <c r="J26" s="67" t="n">
        <f aca="true">IF(OR(D26="",E26=""),"",IF(E26&gt;D26,MAX(0,MIN(1,(TODAY()-D26)/(E26-D26))),IF(TODAY()&gt;=E26,1,0)))</f>
        <v>0</v>
      </c>
      <c r="K26" s="64" t="n">
        <f aca="false">IF(J26="","",ROUND(J26*100-H26*100,0))</f>
        <v>0</v>
      </c>
      <c r="L26" s="68" t="str">
        <f aca="true">IF(OR(D26="",E26=""),"GREY",IF(G26="On hold","GREY",IF(G26="Done","GREEN",IF(E26&lt;TODAY(),"RED",IF(K26&gt;=30,"RED",IF(K26&gt;=15,"AMBER","GREEN"))))))</f>
        <v>GREEN</v>
      </c>
      <c r="M26" s="65" t="s">
        <v>286</v>
      </c>
    </row>
    <row r="27" customFormat="false" ht="16.5" hidden="false" customHeight="true" outlineLevel="0" collapsed="false">
      <c r="A27" s="64" t="n">
        <v>18</v>
      </c>
      <c r="B27" s="65" t="s">
        <v>288</v>
      </c>
      <c r="C27" s="65" t="s">
        <v>261</v>
      </c>
      <c r="D27" s="66" t="n">
        <f aca="false">EventDate-10</f>
        <v>46692</v>
      </c>
      <c r="E27" s="66" t="n">
        <f aca="false">EventDate-3</f>
        <v>46699</v>
      </c>
      <c r="F27" s="66" t="n">
        <f aca="false">E27</f>
        <v>46699</v>
      </c>
      <c r="G27" s="64" t="s">
        <v>157</v>
      </c>
      <c r="H27" s="67" t="n">
        <v>0</v>
      </c>
      <c r="I27" s="64" t="n">
        <f aca="true">IF(E27="","",IF(G27="Done","Done",E27-TODAY()))</f>
        <v>378</v>
      </c>
      <c r="J27" s="67" t="n">
        <f aca="true">IF(OR(D27="",E27=""),"",IF(E27&gt;D27,MAX(0,MIN(1,(TODAY()-D27)/(E27-D27))),IF(TODAY()&gt;=E27,1,0)))</f>
        <v>0</v>
      </c>
      <c r="K27" s="64" t="n">
        <f aca="false">IF(J27="","",ROUND(J27*100-H27*100,0))</f>
        <v>0</v>
      </c>
      <c r="L27" s="68" t="str">
        <f aca="true">IF(OR(D27="",E27=""),"GREY",IF(G27="On hold","GREY",IF(G27="Done","GREEN",IF(E27&lt;TODAY(),"RED",IF(K27&gt;=30,"RED",IF(K27&gt;=15,"AMBER","GREEN"))))))</f>
        <v>GREEN</v>
      </c>
      <c r="M27" s="65" t="s">
        <v>289</v>
      </c>
    </row>
    <row r="28" customFormat="false" ht="18" hidden="false" customHeight="true" outlineLevel="0" collapsed="false">
      <c r="A28" s="60" t="s">
        <v>190</v>
      </c>
      <c r="B28" s="60"/>
      <c r="C28" s="60"/>
      <c r="D28" s="60"/>
      <c r="E28" s="60"/>
      <c r="F28" s="60"/>
      <c r="G28" s="60"/>
      <c r="H28" s="60"/>
      <c r="I28" s="60"/>
      <c r="J28" s="60"/>
      <c r="K28" s="60"/>
      <c r="L28" s="60"/>
      <c r="M28" s="60"/>
    </row>
    <row r="29" customFormat="false" ht="16.5" hidden="false" customHeight="true" outlineLevel="0" collapsed="false">
      <c r="A29" s="52" t="n">
        <v>19</v>
      </c>
      <c r="B29" s="53" t="s">
        <v>290</v>
      </c>
      <c r="C29" s="53" t="s">
        <v>261</v>
      </c>
      <c r="D29" s="55" t="n">
        <f aca="false">EventDate+1</f>
        <v>46703</v>
      </c>
      <c r="E29" s="55" t="n">
        <f aca="false">EventDate+15</f>
        <v>46717</v>
      </c>
      <c r="F29" s="55" t="n">
        <f aca="false">E29+14</f>
        <v>46731</v>
      </c>
      <c r="G29" s="52" t="s">
        <v>157</v>
      </c>
      <c r="H29" s="61" t="n">
        <v>0</v>
      </c>
      <c r="I29" s="52" t="n">
        <f aca="true">IF(E29="","",IF(G29="Done","Done",E29-TODAY()))</f>
        <v>396</v>
      </c>
      <c r="J29" s="61" t="n">
        <f aca="true">IF(OR(D29="",E29=""),"",IF(E29&gt;D29,MAX(0,MIN(1,(TODAY()-D29)/(E29-D29))),IF(TODAY()&gt;=E29,1,0)))</f>
        <v>0</v>
      </c>
      <c r="K29" s="52" t="n">
        <f aca="false">IF(J29="","",ROUND(J29*100-H29*100,0))</f>
        <v>0</v>
      </c>
      <c r="L29" s="62" t="str">
        <f aca="true">IF(OR(D29="",E29=""),"GREY",IF(G29="On hold","GREY",IF(G29="Done","GREEN",IF(E29&lt;TODAY(),"RED",IF(K29&gt;=30,"RED",IF(K29&gt;=15,"AMBER","GREEN"))))))</f>
        <v>GREEN</v>
      </c>
      <c r="M29" s="53" t="s">
        <v>273</v>
      </c>
    </row>
    <row r="30" customFormat="false" ht="30" hidden="false" customHeight="true" outlineLevel="0" collapsed="false">
      <c r="A30" s="52" t="n">
        <v>20</v>
      </c>
      <c r="B30" s="53" t="s">
        <v>291</v>
      </c>
      <c r="C30" s="53" t="s">
        <v>261</v>
      </c>
      <c r="D30" s="55" t="n">
        <f aca="false">EventDate+20</f>
        <v>46722</v>
      </c>
      <c r="E30" s="55" t="n">
        <f aca="false">EventDate+36</f>
        <v>46738</v>
      </c>
      <c r="F30" s="55" t="n">
        <f aca="false">E30+14</f>
        <v>46752</v>
      </c>
      <c r="G30" s="52" t="s">
        <v>157</v>
      </c>
      <c r="H30" s="61" t="n">
        <v>0</v>
      </c>
      <c r="I30" s="52" t="n">
        <f aca="true">IF(E30="","",IF(G30="Done","Done",E30-TODAY()))</f>
        <v>417</v>
      </c>
      <c r="J30" s="61" t="n">
        <f aca="true">IF(OR(D30="",E30=""),"",IF(E30&gt;D30,MAX(0,MIN(1,(TODAY()-D30)/(E30-D30))),IF(TODAY()&gt;=E30,1,0)))</f>
        <v>0</v>
      </c>
      <c r="K30" s="52" t="n">
        <f aca="false">IF(J30="","",ROUND(J30*100-H30*100,0))</f>
        <v>0</v>
      </c>
      <c r="L30" s="62" t="str">
        <f aca="true">IF(OR(D30="",E30=""),"GREY",IF(G30="On hold","GREY",IF(G30="Done","GREEN",IF(E30&lt;TODAY(),"RED",IF(K30&gt;=30,"RED",IF(K30&gt;=15,"AMBER","GREEN"))))))</f>
        <v>GREEN</v>
      </c>
      <c r="M30" s="53" t="s">
        <v>292</v>
      </c>
    </row>
  </sheetData>
  <mergeCells count="9">
    <mergeCell ref="A1:M1"/>
    <mergeCell ref="A2:M2"/>
    <mergeCell ref="A3:C3"/>
    <mergeCell ref="A4:M4"/>
    <mergeCell ref="A6:M6"/>
    <mergeCell ref="A11:M11"/>
    <mergeCell ref="A18:M18"/>
    <mergeCell ref="A24:M24"/>
    <mergeCell ref="A28:M28"/>
  </mergeCells>
  <conditionalFormatting sqref="L6:L30">
    <cfRule type="cellIs" priority="2" operator="equal" aboveAverage="0" equalAverage="0" bottom="0" percent="0" rank="0" text="" dxfId="0">
      <formula>"RED"</formula>
    </cfRule>
    <cfRule type="cellIs" priority="3" operator="equal" aboveAverage="0" equalAverage="0" bottom="0" percent="0" rank="0" text="" dxfId="8">
      <formula>"AMBER"</formula>
    </cfRule>
    <cfRule type="cellIs" priority="4" operator="equal" aboveAverage="0" equalAverage="0" bottom="0" percent="0" rank="0" text="" dxfId="9">
      <formula>"GREEN"</formula>
    </cfRule>
    <cfRule type="cellIs" priority="5" operator="equal" aboveAverage="0" equalAverage="0" bottom="0" percent="0" rank="0" text="" dxfId="10">
      <formula>"GREY"</formula>
    </cfRule>
  </conditionalFormatting>
  <conditionalFormatting sqref="G6:G30">
    <cfRule type="cellIs" priority="6" operator="equal" aboveAverage="0" equalAverage="0" bottom="0" percent="0" rank="0" text="" dxfId="3">
      <formula>"Done"</formula>
    </cfRule>
    <cfRule type="cellIs" priority="7" operator="equal" aboveAverage="0" equalAverage="0" bottom="0" percent="0" rank="0" text="" dxfId="11">
      <formula>"In progress"</formula>
    </cfRule>
    <cfRule type="cellIs" priority="8" operator="equal" aboveAverage="0" equalAverage="0" bottom="0" percent="0" rank="0" text="" dxfId="5">
      <formula>"Blocked"</formula>
    </cfRule>
    <cfRule type="cellIs" priority="9" operator="equal" aboveAverage="0" equalAverage="0" bottom="0" percent="0" rank="0" text="" dxfId="12">
      <formula>"On hold"</formula>
    </cfRule>
  </conditionalFormatting>
  <conditionalFormatting sqref="H6:H30">
    <cfRule type="colorScale" priority="10">
      <colorScale>
        <cfvo type="num" val="0"/>
        <cfvo type="num" val="1"/>
        <color rgb="FFFFFFFF"/>
        <color rgb="FFA9D08E"/>
      </colorScale>
    </cfRule>
  </conditionalFormatting>
  <conditionalFormatting sqref="M3">
    <cfRule type="expression" priority="11" aboveAverage="0" equalAverage="0" bottom="0" percent="0" rank="0" text="" dxfId="3">
      <formula>$I$3+$K$3=0</formula>
    </cfRule>
    <cfRule type="expression" priority="12" aboveAverage="0" equalAverage="0" bottom="0" percent="0" rank="0" text="" dxfId="5">
      <formula>$I$3+$K$3&gt;0</formula>
    </cfRule>
  </conditionalFormatting>
  <dataValidations count="2">
    <dataValidation allowBlank="false" error="Enter a value between 0% and 100%." errorStyle="stop" errorTitle="Progress" operator="between" showDropDown="false" showErrorMessage="false" showInputMessage="false" sqref="H6:H30" type="decimal">
      <formula1>0</formula1>
      <formula2>1</formula2>
    </dataValidation>
    <dataValidation allowBlank="false" errorStyle="stop" operator="between" showDropDown="false" showErrorMessage="false" showInputMessage="false" sqref="G6:G30" type="list">
      <formula1>"Not started,In progress,Done,Blocked,On hold"</formula1>
      <formula2>0</formula2>
    </dataValidation>
  </dataValidations>
  <printOptions headings="false" gridLines="false" gridLinesSet="true" horizontalCentered="false" verticalCentered="false"/>
  <pageMargins left="0.4" right="0.4" top="0.5" bottom="0.5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&amp;A  -  page &amp;P of &amp;N  -  PROPOSED date, subject to sponsor approval</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M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22"/>
    <col collapsed="false" customWidth="true" hidden="false" outlineLevel="0" max="4" min="4" style="0" width="12"/>
    <col collapsed="false" customWidth="true" hidden="false" outlineLevel="0" max="5" min="5" style="0" width="13"/>
    <col collapsed="false" customWidth="true" hidden="false" outlineLevel="0" max="7" min="6" style="0" width="12"/>
    <col collapsed="false" customWidth="true" hidden="false" outlineLevel="0" max="8" min="8" style="0" width="10"/>
    <col collapsed="false" customWidth="true" hidden="false" outlineLevel="0" max="10" min="9" style="0" width="8"/>
    <col collapsed="false" customWidth="true" hidden="false" outlineLevel="0" max="12" min="11" style="0" width="9"/>
    <col collapsed="false" customWidth="true" hidden="false" outlineLevel="0" max="13" min="13" style="0" width="62"/>
  </cols>
  <sheetData>
    <row r="1" customFormat="false" ht="27.75" hidden="false" customHeight="true" outlineLevel="0" collapsed="false">
      <c r="A1" s="42" t="s">
        <v>293</v>
      </c>
      <c r="B1" s="42"/>
      <c r="C1" s="42"/>
      <c r="D1" s="42"/>
      <c r="E1" s="42"/>
      <c r="F1" s="42"/>
      <c r="G1" s="42"/>
      <c r="H1" s="42"/>
      <c r="I1" s="42"/>
      <c r="J1" s="42"/>
      <c r="K1" s="42"/>
      <c r="L1" s="42"/>
      <c r="M1" s="42"/>
    </row>
    <row r="2" customFormat="false" ht="19.5" hidden="false" customHeight="true" outlineLevel="0" collapsed="false">
      <c r="A2" s="43" t="s">
        <v>86</v>
      </c>
      <c r="B2" s="43"/>
      <c r="C2" s="43"/>
      <c r="D2" s="43"/>
      <c r="E2" s="43"/>
      <c r="F2" s="43"/>
      <c r="G2" s="43"/>
      <c r="H2" s="43"/>
      <c r="I2" s="43"/>
      <c r="J2" s="43"/>
      <c r="K2" s="43"/>
      <c r="L2" s="43"/>
      <c r="M2" s="43"/>
    </row>
    <row r="3" customFormat="false" ht="19.5" hidden="false" customHeight="true" outlineLevel="0" collapsed="false">
      <c r="A3" s="56" t="s">
        <v>294</v>
      </c>
      <c r="B3" s="56"/>
      <c r="C3" s="56"/>
      <c r="D3" s="57" t="s">
        <v>16</v>
      </c>
      <c r="E3" s="57" t="n">
        <f aca="false">COUNT(A6:A35)</f>
        <v>25</v>
      </c>
      <c r="F3" s="57" t="s">
        <v>17</v>
      </c>
      <c r="G3" s="57" t="n">
        <f aca="false">COUNTIF(G6:G35,"Done")</f>
        <v>0</v>
      </c>
      <c r="H3" s="57" t="s">
        <v>19</v>
      </c>
      <c r="I3" s="57" t="n">
        <f aca="false">COUNTIF(L6:L35,"RED")</f>
        <v>0</v>
      </c>
      <c r="J3" s="57" t="s">
        <v>20</v>
      </c>
      <c r="K3" s="57" t="n">
        <f aca="false">COUNTIF(L6:L35,"AMBER")</f>
        <v>0</v>
      </c>
      <c r="L3" s="57" t="s">
        <v>141</v>
      </c>
      <c r="M3" s="58" t="str">
        <f aca="false" t="array" ref="M3:M3">IF(I3+K3=0,"Nothing behind schedule",_xlfn.TEXTJOIN(", ",TRUE(),IF((L6:L35="RED")+(L6:L35="AMBER"),"#"&amp;A6:A35,"")))</f>
        <v>Nothing behind schedule</v>
      </c>
    </row>
    <row r="4" customFormat="false" ht="25.5" hidden="false" customHeight="true" outlineLevel="0" collapsed="false">
      <c r="A4" s="59" t="s">
        <v>142</v>
      </c>
      <c r="B4" s="59"/>
      <c r="C4" s="59"/>
      <c r="D4" s="59"/>
      <c r="E4" s="59"/>
      <c r="F4" s="59"/>
      <c r="G4" s="59"/>
      <c r="H4" s="59"/>
      <c r="I4" s="59"/>
      <c r="J4" s="59"/>
      <c r="K4" s="59"/>
      <c r="L4" s="59"/>
      <c r="M4" s="59"/>
    </row>
    <row r="5" customFormat="false" ht="31.5" hidden="false" customHeight="true" outlineLevel="0" collapsed="false">
      <c r="A5" s="10" t="s">
        <v>143</v>
      </c>
      <c r="B5" s="10" t="s">
        <v>144</v>
      </c>
      <c r="C5" s="10" t="s">
        <v>145</v>
      </c>
      <c r="D5" s="10" t="s">
        <v>146</v>
      </c>
      <c r="E5" s="10" t="s">
        <v>147</v>
      </c>
      <c r="F5" s="10" t="s">
        <v>148</v>
      </c>
      <c r="G5" s="10" t="s">
        <v>23</v>
      </c>
      <c r="H5" s="10" t="s">
        <v>149</v>
      </c>
      <c r="I5" s="10" t="s">
        <v>150</v>
      </c>
      <c r="J5" s="10" t="s">
        <v>151</v>
      </c>
      <c r="K5" s="10" t="s">
        <v>152</v>
      </c>
      <c r="L5" s="10" t="s">
        <v>153</v>
      </c>
      <c r="M5" s="10" t="s">
        <v>154</v>
      </c>
    </row>
    <row r="6" customFormat="false" ht="18" hidden="false" customHeight="true" outlineLevel="0" collapsed="false">
      <c r="A6" s="60" t="s">
        <v>155</v>
      </c>
      <c r="B6" s="60"/>
      <c r="C6" s="60"/>
      <c r="D6" s="60"/>
      <c r="E6" s="60"/>
      <c r="F6" s="60"/>
      <c r="G6" s="60"/>
      <c r="H6" s="60"/>
      <c r="I6" s="60"/>
      <c r="J6" s="60"/>
      <c r="K6" s="60"/>
      <c r="L6" s="60"/>
      <c r="M6" s="60"/>
    </row>
    <row r="7" customFormat="false" ht="57" hidden="false" customHeight="true" outlineLevel="0" collapsed="false">
      <c r="A7" s="52" t="n">
        <v>1</v>
      </c>
      <c r="B7" s="53" t="s">
        <v>295</v>
      </c>
      <c r="C7" s="53" t="s">
        <v>296</v>
      </c>
      <c r="D7" s="55" t="n">
        <v>46335</v>
      </c>
      <c r="E7" s="55" t="n">
        <v>46374</v>
      </c>
      <c r="F7" s="55" t="n">
        <f aca="false">E7+14</f>
        <v>46388</v>
      </c>
      <c r="G7" s="52" t="s">
        <v>157</v>
      </c>
      <c r="H7" s="61" t="n">
        <v>0</v>
      </c>
      <c r="I7" s="52" t="n">
        <f aca="true">IF(E7="","",IF(G7="Done","Done",E7-TODAY()))</f>
        <v>53</v>
      </c>
      <c r="J7" s="61" t="n">
        <f aca="true">IF(OR(D7="",E7=""),"",IF(E7&gt;D7,MAX(0,MIN(1,(TODAY()-D7)/(E7-D7))),IF(TODAY()&gt;=E7,1,0)))</f>
        <v>0</v>
      </c>
      <c r="K7" s="52" t="n">
        <f aca="false">IF(J7="","",ROUND(J7*100-H7*100,0))</f>
        <v>0</v>
      </c>
      <c r="L7" s="62" t="str">
        <f aca="true">IF(OR(D7="",E7=""),"GREY",IF(G7="On hold","GREY",IF(G7="Done","GREEN",IF(E7&lt;TODAY(),"RED",IF(K7&gt;=30,"RED",IF(K7&gt;=15,"AMBER","GREEN"))))))</f>
        <v>GREEN</v>
      </c>
      <c r="M7" s="53" t="s">
        <v>297</v>
      </c>
    </row>
    <row r="8" customFormat="false" ht="30" hidden="false" customHeight="true" outlineLevel="0" collapsed="false">
      <c r="A8" s="52" t="n">
        <v>2</v>
      </c>
      <c r="B8" s="53" t="s">
        <v>298</v>
      </c>
      <c r="C8" s="53" t="s">
        <v>296</v>
      </c>
      <c r="D8" s="55" t="n">
        <v>46357</v>
      </c>
      <c r="E8" s="55" t="n">
        <v>46402</v>
      </c>
      <c r="F8" s="55" t="n">
        <f aca="false">E8+14</f>
        <v>46416</v>
      </c>
      <c r="G8" s="52" t="s">
        <v>157</v>
      </c>
      <c r="H8" s="61" t="n">
        <v>0</v>
      </c>
      <c r="I8" s="52" t="n">
        <f aca="true">IF(E8="","",IF(G8="Done","Done",E8-TODAY()))</f>
        <v>81</v>
      </c>
      <c r="J8" s="61" t="n">
        <f aca="true">IF(OR(D8="",E8=""),"",IF(E8&gt;D8,MAX(0,MIN(1,(TODAY()-D8)/(E8-D8))),IF(TODAY()&gt;=E8,1,0)))</f>
        <v>0</v>
      </c>
      <c r="K8" s="52" t="n">
        <f aca="false">IF(J8="","",ROUND(J8*100-H8*100,0))</f>
        <v>0</v>
      </c>
      <c r="L8" s="62" t="str">
        <f aca="true">IF(OR(D8="",E8=""),"GREY",IF(G8="On hold","GREY",IF(G8="Done","GREEN",IF(E8&lt;TODAY(),"RED",IF(K8&gt;=30,"RED",IF(K8&gt;=15,"AMBER","GREEN"))))))</f>
        <v>GREEN</v>
      </c>
      <c r="M8" s="53" t="s">
        <v>299</v>
      </c>
    </row>
    <row r="9" customFormat="false" ht="18" hidden="false" customHeight="true" outlineLevel="0" collapsed="false">
      <c r="A9" s="60" t="s">
        <v>171</v>
      </c>
      <c r="B9" s="60"/>
      <c r="C9" s="60"/>
      <c r="D9" s="60"/>
      <c r="E9" s="60"/>
      <c r="F9" s="60"/>
      <c r="G9" s="60"/>
      <c r="H9" s="60"/>
      <c r="I9" s="60"/>
      <c r="J9" s="60"/>
      <c r="K9" s="60"/>
      <c r="L9" s="60"/>
      <c r="M9" s="60"/>
    </row>
    <row r="10" customFormat="false" ht="30" hidden="false" customHeight="true" outlineLevel="0" collapsed="false">
      <c r="A10" s="52" t="n">
        <v>3</v>
      </c>
      <c r="B10" s="53" t="s">
        <v>300</v>
      </c>
      <c r="C10" s="53" t="s">
        <v>296</v>
      </c>
      <c r="D10" s="55" t="n">
        <v>46398</v>
      </c>
      <c r="E10" s="55" t="n">
        <v>46430</v>
      </c>
      <c r="F10" s="55" t="n">
        <f aca="false">E10+14</f>
        <v>46444</v>
      </c>
      <c r="G10" s="52" t="s">
        <v>157</v>
      </c>
      <c r="H10" s="61" t="n">
        <v>0</v>
      </c>
      <c r="I10" s="52" t="n">
        <f aca="true">IF(E10="","",IF(G10="Done","Done",E10-TODAY()))</f>
        <v>109</v>
      </c>
      <c r="J10" s="61" t="n">
        <f aca="true">IF(OR(D10="",E10=""),"",IF(E10&gt;D10,MAX(0,MIN(1,(TODAY()-D10)/(E10-D10))),IF(TODAY()&gt;=E10,1,0)))</f>
        <v>0</v>
      </c>
      <c r="K10" s="52" t="n">
        <f aca="false">IF(J10="","",ROUND(J10*100-H10*100,0))</f>
        <v>0</v>
      </c>
      <c r="L10" s="62" t="str">
        <f aca="true">IF(OR(D10="",E10=""),"GREY",IF(G10="On hold","GREY",IF(G10="Done","GREEN",IF(E10&lt;TODAY(),"RED",IF(K10&gt;=30,"RED",IF(K10&gt;=15,"AMBER","GREEN"))))))</f>
        <v>GREEN</v>
      </c>
      <c r="M10" s="53" t="s">
        <v>301</v>
      </c>
    </row>
    <row r="11" customFormat="false" ht="30" hidden="false" customHeight="true" outlineLevel="0" collapsed="false">
      <c r="A11" s="52" t="n">
        <v>4</v>
      </c>
      <c r="B11" s="53" t="s">
        <v>302</v>
      </c>
      <c r="C11" s="53" t="s">
        <v>296</v>
      </c>
      <c r="D11" s="55" t="n">
        <v>46433</v>
      </c>
      <c r="E11" s="55" t="n">
        <v>46458</v>
      </c>
      <c r="F11" s="55" t="n">
        <f aca="false">E11+14</f>
        <v>46472</v>
      </c>
      <c r="G11" s="52" t="s">
        <v>157</v>
      </c>
      <c r="H11" s="61" t="n">
        <v>0</v>
      </c>
      <c r="I11" s="52" t="n">
        <f aca="true">IF(E11="","",IF(G11="Done","Done",E11-TODAY()))</f>
        <v>137</v>
      </c>
      <c r="J11" s="61" t="n">
        <f aca="true">IF(OR(D11="",E11=""),"",IF(E11&gt;D11,MAX(0,MIN(1,(TODAY()-D11)/(E11-D11))),IF(TODAY()&gt;=E11,1,0)))</f>
        <v>0</v>
      </c>
      <c r="K11" s="52" t="n">
        <f aca="false">IF(J11="","",ROUND(J11*100-H11*100,0))</f>
        <v>0</v>
      </c>
      <c r="L11" s="62" t="str">
        <f aca="true">IF(OR(D11="",E11=""),"GREY",IF(G11="On hold","GREY",IF(G11="Done","GREEN",IF(E11&lt;TODAY(),"RED",IF(K11&gt;=30,"RED",IF(K11&gt;=15,"AMBER","GREEN"))))))</f>
        <v>GREEN</v>
      </c>
      <c r="M11" s="53" t="s">
        <v>273</v>
      </c>
    </row>
    <row r="12" customFormat="false" ht="30" hidden="false" customHeight="true" outlineLevel="0" collapsed="false">
      <c r="A12" s="52" t="n">
        <v>5</v>
      </c>
      <c r="B12" s="53" t="s">
        <v>303</v>
      </c>
      <c r="C12" s="53" t="s">
        <v>296</v>
      </c>
      <c r="D12" s="55" t="n">
        <f aca="false">EventDate-224</f>
        <v>46478</v>
      </c>
      <c r="E12" s="55" t="n">
        <f aca="false">EventDate-195</f>
        <v>46507</v>
      </c>
      <c r="F12" s="55" t="n">
        <f aca="false">E12+14</f>
        <v>46521</v>
      </c>
      <c r="G12" s="52" t="s">
        <v>157</v>
      </c>
      <c r="H12" s="61" t="n">
        <v>0</v>
      </c>
      <c r="I12" s="52" t="n">
        <f aca="true">IF(E12="","",IF(G12="Done","Done",E12-TODAY()))</f>
        <v>186</v>
      </c>
      <c r="J12" s="61" t="n">
        <f aca="true">IF(OR(D12="",E12=""),"",IF(E12&gt;D12,MAX(0,MIN(1,(TODAY()-D12)/(E12-D12))),IF(TODAY()&gt;=E12,1,0)))</f>
        <v>0</v>
      </c>
      <c r="K12" s="52" t="n">
        <f aca="false">IF(J12="","",ROUND(J12*100-H12*100,0))</f>
        <v>0</v>
      </c>
      <c r="L12" s="62" t="str">
        <f aca="true">IF(OR(D12="",E12=""),"GREY",IF(G12="On hold","GREY",IF(G12="Done","GREEN",IF(E12&lt;TODAY(),"RED",IF(K12&gt;=30,"RED",IF(K12&gt;=15,"AMBER","GREEN"))))))</f>
        <v>GREEN</v>
      </c>
      <c r="M12" s="53" t="s">
        <v>304</v>
      </c>
    </row>
    <row r="13" customFormat="false" ht="43.5" hidden="false" customHeight="true" outlineLevel="0" collapsed="false">
      <c r="A13" s="52" t="n">
        <v>6</v>
      </c>
      <c r="B13" s="53" t="s">
        <v>305</v>
      </c>
      <c r="C13" s="53" t="s">
        <v>296</v>
      </c>
      <c r="D13" s="55" t="n">
        <f aca="false">EventDate-220</f>
        <v>46482</v>
      </c>
      <c r="E13" s="55" t="n">
        <f aca="false">EventDate-76</f>
        <v>46626</v>
      </c>
      <c r="F13" s="55" t="n">
        <f aca="false">E13+14</f>
        <v>46640</v>
      </c>
      <c r="G13" s="52" t="s">
        <v>157</v>
      </c>
      <c r="H13" s="61" t="n">
        <v>0</v>
      </c>
      <c r="I13" s="52" t="n">
        <f aca="true">IF(E13="","",IF(G13="Done","Done",E13-TODAY()))</f>
        <v>305</v>
      </c>
      <c r="J13" s="61" t="n">
        <f aca="true">IF(OR(D13="",E13=""),"",IF(E13&gt;D13,MAX(0,MIN(1,(TODAY()-D13)/(E13-D13))),IF(TODAY()&gt;=E13,1,0)))</f>
        <v>0</v>
      </c>
      <c r="K13" s="52" t="n">
        <f aca="false">IF(J13="","",ROUND(J13*100-H13*100,0))</f>
        <v>0</v>
      </c>
      <c r="L13" s="62" t="str">
        <f aca="true">IF(OR(D13="",E13=""),"GREY",IF(G13="On hold","GREY",IF(G13="Done","GREEN",IF(E13&lt;TODAY(),"RED",IF(K13&gt;=30,"RED",IF(K13&gt;=15,"AMBER","GREEN"))))))</f>
        <v>GREEN</v>
      </c>
      <c r="M13" s="53" t="s">
        <v>269</v>
      </c>
    </row>
    <row r="14" customFormat="false" ht="30" hidden="false" customHeight="true" outlineLevel="0" collapsed="false">
      <c r="A14" s="52" t="n">
        <v>7</v>
      </c>
      <c r="B14" s="53" t="s">
        <v>306</v>
      </c>
      <c r="C14" s="53" t="s">
        <v>296</v>
      </c>
      <c r="D14" s="55" t="n">
        <f aca="false">EventDate-192</f>
        <v>46510</v>
      </c>
      <c r="E14" s="55" t="n">
        <f aca="false">EventDate-167</f>
        <v>46535</v>
      </c>
      <c r="F14" s="55" t="n">
        <f aca="false">E14+14</f>
        <v>46549</v>
      </c>
      <c r="G14" s="52" t="s">
        <v>157</v>
      </c>
      <c r="H14" s="61" t="n">
        <v>0</v>
      </c>
      <c r="I14" s="52" t="n">
        <f aca="true">IF(E14="","",IF(G14="Done","Done",E14-TODAY()))</f>
        <v>214</v>
      </c>
      <c r="J14" s="61" t="n">
        <f aca="true">IF(OR(D14="",E14=""),"",IF(E14&gt;D14,MAX(0,MIN(1,(TODAY()-D14)/(E14-D14))),IF(TODAY()&gt;=E14,1,0)))</f>
        <v>0</v>
      </c>
      <c r="K14" s="52" t="n">
        <f aca="false">IF(J14="","",ROUND(J14*100-H14*100,0))</f>
        <v>0</v>
      </c>
      <c r="L14" s="62" t="str">
        <f aca="true">IF(OR(D14="",E14=""),"GREY",IF(G14="On hold","GREY",IF(G14="Done","GREEN",IF(E14&lt;TODAY(),"RED",IF(K14&gt;=30,"RED",IF(K14&gt;=15,"AMBER","GREEN"))))))</f>
        <v>GREEN</v>
      </c>
      <c r="M14" s="53" t="s">
        <v>273</v>
      </c>
    </row>
    <row r="15" customFormat="false" ht="30" hidden="false" customHeight="true" outlineLevel="0" collapsed="false">
      <c r="A15" s="52" t="n">
        <v>8</v>
      </c>
      <c r="B15" s="53" t="s">
        <v>307</v>
      </c>
      <c r="C15" s="53" t="s">
        <v>296</v>
      </c>
      <c r="D15" s="55" t="n">
        <f aca="false">EventDate-192</f>
        <v>46510</v>
      </c>
      <c r="E15" s="55" t="n">
        <f aca="false">EventDate-134</f>
        <v>46568</v>
      </c>
      <c r="F15" s="55" t="n">
        <f aca="false">E15+14</f>
        <v>46582</v>
      </c>
      <c r="G15" s="52" t="s">
        <v>157</v>
      </c>
      <c r="H15" s="61" t="n">
        <v>0</v>
      </c>
      <c r="I15" s="52" t="n">
        <f aca="true">IF(E15="","",IF(G15="Done","Done",E15-TODAY()))</f>
        <v>247</v>
      </c>
      <c r="J15" s="61" t="n">
        <f aca="true">IF(OR(D15="",E15=""),"",IF(E15&gt;D15,MAX(0,MIN(1,(TODAY()-D15)/(E15-D15))),IF(TODAY()&gt;=E15,1,0)))</f>
        <v>0</v>
      </c>
      <c r="K15" s="52" t="n">
        <f aca="false">IF(J15="","",ROUND(J15*100-H15*100,0))</f>
        <v>0</v>
      </c>
      <c r="L15" s="62" t="str">
        <f aca="true">IF(OR(D15="",E15=""),"GREY",IF(G15="On hold","GREY",IF(G15="Done","GREEN",IF(E15&lt;TODAY(),"RED",IF(K15&gt;=30,"RED",IF(K15&gt;=15,"AMBER","GREEN"))))))</f>
        <v>GREEN</v>
      </c>
      <c r="M15" s="53" t="s">
        <v>273</v>
      </c>
    </row>
    <row r="16" customFormat="false" ht="30" hidden="false" customHeight="true" outlineLevel="0" collapsed="false">
      <c r="A16" s="52" t="n">
        <v>9</v>
      </c>
      <c r="B16" s="53" t="s">
        <v>308</v>
      </c>
      <c r="C16" s="53" t="s">
        <v>296</v>
      </c>
      <c r="D16" s="55" t="n">
        <f aca="false">EventDate-192</f>
        <v>46510</v>
      </c>
      <c r="E16" s="55" t="n">
        <f aca="false">EventDate-104</f>
        <v>46598</v>
      </c>
      <c r="F16" s="55" t="n">
        <f aca="false">E16+14</f>
        <v>46612</v>
      </c>
      <c r="G16" s="52" t="s">
        <v>157</v>
      </c>
      <c r="H16" s="61" t="n">
        <v>0</v>
      </c>
      <c r="I16" s="52" t="n">
        <f aca="true">IF(E16="","",IF(G16="Done","Done",E16-TODAY()))</f>
        <v>277</v>
      </c>
      <c r="J16" s="61" t="n">
        <f aca="true">IF(OR(D16="",E16=""),"",IF(E16&gt;D16,MAX(0,MIN(1,(TODAY()-D16)/(E16-D16))),IF(TODAY()&gt;=E16,1,0)))</f>
        <v>0</v>
      </c>
      <c r="K16" s="52" t="n">
        <f aca="false">IF(J16="","",ROUND(J16*100-H16*100,0))</f>
        <v>0</v>
      </c>
      <c r="L16" s="62" t="str">
        <f aca="true">IF(OR(D16="",E16=""),"GREY",IF(G16="On hold","GREY",IF(G16="Done","GREEN",IF(E16&lt;TODAY(),"RED",IF(K16&gt;=30,"RED",IF(K16&gt;=15,"AMBER","GREEN"))))))</f>
        <v>GREEN</v>
      </c>
      <c r="M16" s="53" t="s">
        <v>309</v>
      </c>
    </row>
    <row r="17" customFormat="false" ht="30" hidden="false" customHeight="true" outlineLevel="0" collapsed="false">
      <c r="A17" s="52" t="n">
        <v>10</v>
      </c>
      <c r="B17" s="53" t="s">
        <v>310</v>
      </c>
      <c r="C17" s="53" t="s">
        <v>296</v>
      </c>
      <c r="D17" s="55" t="n">
        <f aca="false">EventDate-163</f>
        <v>46539</v>
      </c>
      <c r="E17" s="55" t="n">
        <f aca="false">EventDate-90</f>
        <v>46612</v>
      </c>
      <c r="F17" s="55" t="n">
        <f aca="false">E17+14</f>
        <v>46626</v>
      </c>
      <c r="G17" s="52" t="s">
        <v>157</v>
      </c>
      <c r="H17" s="61" t="n">
        <v>0</v>
      </c>
      <c r="I17" s="52" t="n">
        <f aca="true">IF(E17="","",IF(G17="Done","Done",E17-TODAY()))</f>
        <v>291</v>
      </c>
      <c r="J17" s="61" t="n">
        <f aca="true">IF(OR(D17="",E17=""),"",IF(E17&gt;D17,MAX(0,MIN(1,(TODAY()-D17)/(E17-D17))),IF(TODAY()&gt;=E17,1,0)))</f>
        <v>0</v>
      </c>
      <c r="K17" s="52" t="n">
        <f aca="false">IF(J17="","",ROUND(J17*100-H17*100,0))</f>
        <v>0</v>
      </c>
      <c r="L17" s="62" t="str">
        <f aca="true">IF(OR(D17="",E17=""),"GREY",IF(G17="On hold","GREY",IF(G17="Done","GREEN",IF(E17&lt;TODAY(),"RED",IF(K17&gt;=30,"RED",IF(K17&gt;=15,"AMBER","GREEN"))))))</f>
        <v>GREEN</v>
      </c>
      <c r="M17" s="53" t="s">
        <v>311</v>
      </c>
    </row>
    <row r="18" customFormat="false" ht="30" hidden="false" customHeight="true" outlineLevel="0" collapsed="false">
      <c r="A18" s="52" t="n">
        <v>11</v>
      </c>
      <c r="B18" s="53" t="s">
        <v>312</v>
      </c>
      <c r="C18" s="53" t="s">
        <v>296</v>
      </c>
      <c r="D18" s="55" t="n">
        <f aca="false">EventDate-163</f>
        <v>46539</v>
      </c>
      <c r="E18" s="55" t="n">
        <f aca="false">EventDate-76</f>
        <v>46626</v>
      </c>
      <c r="F18" s="55" t="n">
        <f aca="false">E18+14</f>
        <v>46640</v>
      </c>
      <c r="G18" s="52" t="s">
        <v>157</v>
      </c>
      <c r="H18" s="61" t="n">
        <v>0</v>
      </c>
      <c r="I18" s="52" t="n">
        <f aca="true">IF(E18="","",IF(G18="Done","Done",E18-TODAY()))</f>
        <v>305</v>
      </c>
      <c r="J18" s="61" t="n">
        <f aca="true">IF(OR(D18="",E18=""),"",IF(E18&gt;D18,MAX(0,MIN(1,(TODAY()-D18)/(E18-D18))),IF(TODAY()&gt;=E18,1,0)))</f>
        <v>0</v>
      </c>
      <c r="K18" s="52" t="n">
        <f aca="false">IF(J18="","",ROUND(J18*100-H18*100,0))</f>
        <v>0</v>
      </c>
      <c r="L18" s="62" t="str">
        <f aca="true">IF(OR(D18="",E18=""),"GREY",IF(G18="On hold","GREY",IF(G18="Done","GREEN",IF(E18&lt;TODAY(),"RED",IF(K18&gt;=30,"RED",IF(K18&gt;=15,"AMBER","GREEN"))))))</f>
        <v>GREEN</v>
      </c>
      <c r="M18" s="53" t="s">
        <v>313</v>
      </c>
    </row>
    <row r="19" customFormat="false" ht="18" hidden="false" customHeight="true" outlineLevel="0" collapsed="false">
      <c r="A19" s="60" t="s">
        <v>179</v>
      </c>
      <c r="B19" s="60"/>
      <c r="C19" s="60"/>
      <c r="D19" s="60"/>
      <c r="E19" s="60"/>
      <c r="F19" s="60"/>
      <c r="G19" s="60"/>
      <c r="H19" s="60"/>
      <c r="I19" s="60"/>
      <c r="J19" s="60"/>
      <c r="K19" s="60"/>
      <c r="L19" s="60"/>
      <c r="M19" s="60"/>
    </row>
    <row r="20" customFormat="false" ht="30" hidden="false" customHeight="true" outlineLevel="0" collapsed="false">
      <c r="A20" s="52" t="n">
        <v>12</v>
      </c>
      <c r="B20" s="53" t="s">
        <v>314</v>
      </c>
      <c r="C20" s="53" t="s">
        <v>296</v>
      </c>
      <c r="D20" s="55" t="n">
        <f aca="false">EventDate-129</f>
        <v>46573</v>
      </c>
      <c r="E20" s="55" t="n">
        <f aca="false">EventDate-69</f>
        <v>46633</v>
      </c>
      <c r="F20" s="55" t="n">
        <f aca="false">E20+14</f>
        <v>46647</v>
      </c>
      <c r="G20" s="52" t="s">
        <v>157</v>
      </c>
      <c r="H20" s="61" t="n">
        <v>0</v>
      </c>
      <c r="I20" s="52" t="n">
        <f aca="true">IF(E20="","",IF(G20="Done","Done",E20-TODAY()))</f>
        <v>312</v>
      </c>
      <c r="J20" s="61" t="n">
        <f aca="true">IF(OR(D20="",E20=""),"",IF(E20&gt;D20,MAX(0,MIN(1,(TODAY()-D20)/(E20-D20))),IF(TODAY()&gt;=E20,1,0)))</f>
        <v>0</v>
      </c>
      <c r="K20" s="52" t="n">
        <f aca="false">IF(J20="","",ROUND(J20*100-H20*100,0))</f>
        <v>0</v>
      </c>
      <c r="L20" s="62" t="str">
        <f aca="true">IF(OR(D20="",E20=""),"GREY",IF(G20="On hold","GREY",IF(G20="Done","GREEN",IF(E20&lt;TODAY(),"RED",IF(K20&gt;=30,"RED",IF(K20&gt;=15,"AMBER","GREEN"))))))</f>
        <v>GREEN</v>
      </c>
      <c r="M20" s="53" t="s">
        <v>315</v>
      </c>
    </row>
    <row r="21" customFormat="false" ht="30" hidden="false" customHeight="true" outlineLevel="0" collapsed="false">
      <c r="A21" s="52" t="n">
        <v>13</v>
      </c>
      <c r="B21" s="53" t="s">
        <v>316</v>
      </c>
      <c r="C21" s="53" t="s">
        <v>296</v>
      </c>
      <c r="D21" s="55" t="n">
        <f aca="false">EventDate-101</f>
        <v>46601</v>
      </c>
      <c r="E21" s="55" t="n">
        <f aca="false">EventDate-62</f>
        <v>46640</v>
      </c>
      <c r="F21" s="55" t="n">
        <f aca="false">E21+14</f>
        <v>46654</v>
      </c>
      <c r="G21" s="52" t="s">
        <v>157</v>
      </c>
      <c r="H21" s="61" t="n">
        <v>0</v>
      </c>
      <c r="I21" s="52" t="n">
        <f aca="true">IF(E21="","",IF(G21="Done","Done",E21-TODAY()))</f>
        <v>319</v>
      </c>
      <c r="J21" s="61" t="n">
        <f aca="true">IF(OR(D21="",E21=""),"",IF(E21&gt;D21,MAX(0,MIN(1,(TODAY()-D21)/(E21-D21))),IF(TODAY()&gt;=E21,1,0)))</f>
        <v>0</v>
      </c>
      <c r="K21" s="52" t="n">
        <f aca="false">IF(J21="","",ROUND(J21*100-H21*100,0))</f>
        <v>0</v>
      </c>
      <c r="L21" s="62" t="str">
        <f aca="true">IF(OR(D21="",E21=""),"GREY",IF(G21="On hold","GREY",IF(G21="Done","GREEN",IF(E21&lt;TODAY(),"RED",IF(K21&gt;=30,"RED",IF(K21&gt;=15,"AMBER","GREEN"))))))</f>
        <v>GREEN</v>
      </c>
      <c r="M21" s="53" t="s">
        <v>317</v>
      </c>
    </row>
    <row r="22" customFormat="false" ht="30" hidden="false" customHeight="true" outlineLevel="0" collapsed="false">
      <c r="A22" s="52" t="n">
        <v>14</v>
      </c>
      <c r="B22" s="53" t="s">
        <v>318</v>
      </c>
      <c r="C22" s="53" t="s">
        <v>296</v>
      </c>
      <c r="D22" s="55" t="n">
        <f aca="false">EventDate-101</f>
        <v>46601</v>
      </c>
      <c r="E22" s="55" t="n">
        <f aca="false">EventDate-55</f>
        <v>46647</v>
      </c>
      <c r="F22" s="55" t="n">
        <f aca="false">E22+14</f>
        <v>46661</v>
      </c>
      <c r="G22" s="52" t="s">
        <v>157</v>
      </c>
      <c r="H22" s="61" t="n">
        <v>0</v>
      </c>
      <c r="I22" s="52" t="n">
        <f aca="true">IF(E22="","",IF(G22="Done","Done",E22-TODAY()))</f>
        <v>326</v>
      </c>
      <c r="J22" s="61" t="n">
        <f aca="true">IF(OR(D22="",E22=""),"",IF(E22&gt;D22,MAX(0,MIN(1,(TODAY()-D22)/(E22-D22))),IF(TODAY()&gt;=E22,1,0)))</f>
        <v>0</v>
      </c>
      <c r="K22" s="52" t="n">
        <f aca="false">IF(J22="","",ROUND(J22*100-H22*100,0))</f>
        <v>0</v>
      </c>
      <c r="L22" s="62" t="str">
        <f aca="true">IF(OR(D22="",E22=""),"GREY",IF(G22="On hold","GREY",IF(G22="Done","GREEN",IF(E22&lt;TODAY(),"RED",IF(K22&gt;=30,"RED",IF(K22&gt;=15,"AMBER","GREEN"))))))</f>
        <v>GREEN</v>
      </c>
      <c r="M22" s="53" t="s">
        <v>319</v>
      </c>
    </row>
    <row r="23" customFormat="false" ht="30" hidden="false" customHeight="true" outlineLevel="0" collapsed="false">
      <c r="A23" s="52" t="n">
        <v>15</v>
      </c>
      <c r="B23" s="53" t="s">
        <v>320</v>
      </c>
      <c r="C23" s="53" t="s">
        <v>296</v>
      </c>
      <c r="D23" s="55" t="n">
        <f aca="false">EventDate-101</f>
        <v>46601</v>
      </c>
      <c r="E23" s="55" t="n">
        <f aca="false">EventDate-48</f>
        <v>46654</v>
      </c>
      <c r="F23" s="55" t="n">
        <f aca="false">E23+14</f>
        <v>46668</v>
      </c>
      <c r="G23" s="52" t="s">
        <v>157</v>
      </c>
      <c r="H23" s="61" t="n">
        <v>0</v>
      </c>
      <c r="I23" s="52" t="n">
        <f aca="true">IF(E23="","",IF(G23="Done","Done",E23-TODAY()))</f>
        <v>333</v>
      </c>
      <c r="J23" s="61" t="n">
        <f aca="true">IF(OR(D23="",E23=""),"",IF(E23&gt;D23,MAX(0,MIN(1,(TODAY()-D23)/(E23-D23))),IF(TODAY()&gt;=E23,1,0)))</f>
        <v>0</v>
      </c>
      <c r="K23" s="52" t="n">
        <f aca="false">IF(J23="","",ROUND(J23*100-H23*100,0))</f>
        <v>0</v>
      </c>
      <c r="L23" s="62" t="str">
        <f aca="true">IF(OR(D23="",E23=""),"GREY",IF(G23="On hold","GREY",IF(G23="Done","GREEN",IF(E23&lt;TODAY(),"RED",IF(K23&gt;=30,"RED",IF(K23&gt;=15,"AMBER","GREEN"))))))</f>
        <v>GREEN</v>
      </c>
      <c r="M23" s="53" t="s">
        <v>321</v>
      </c>
    </row>
    <row r="24" customFormat="false" ht="30" hidden="false" customHeight="true" outlineLevel="0" collapsed="false">
      <c r="A24" s="52" t="n">
        <v>16</v>
      </c>
      <c r="B24" s="53" t="s">
        <v>322</v>
      </c>
      <c r="C24" s="53" t="s">
        <v>296</v>
      </c>
      <c r="D24" s="55" t="n">
        <f aca="false">EventDate-66</f>
        <v>46636</v>
      </c>
      <c r="E24" s="55" t="n">
        <f aca="false">EventDate-48</f>
        <v>46654</v>
      </c>
      <c r="F24" s="55" t="n">
        <f aca="false">E24+14</f>
        <v>46668</v>
      </c>
      <c r="G24" s="52" t="s">
        <v>157</v>
      </c>
      <c r="H24" s="61" t="n">
        <v>0</v>
      </c>
      <c r="I24" s="52" t="n">
        <f aca="true">IF(E24="","",IF(G24="Done","Done",E24-TODAY()))</f>
        <v>333</v>
      </c>
      <c r="J24" s="61" t="n">
        <f aca="true">IF(OR(D24="",E24=""),"",IF(E24&gt;D24,MAX(0,MIN(1,(TODAY()-D24)/(E24-D24))),IF(TODAY()&gt;=E24,1,0)))</f>
        <v>0</v>
      </c>
      <c r="K24" s="52" t="n">
        <f aca="false">IF(J24="","",ROUND(J24*100-H24*100,0))</f>
        <v>0</v>
      </c>
      <c r="L24" s="62" t="str">
        <f aca="true">IF(OR(D24="",E24=""),"GREY",IF(G24="On hold","GREY",IF(G24="Done","GREEN",IF(E24&lt;TODAY(),"RED",IF(K24&gt;=30,"RED",IF(K24&gt;=15,"AMBER","GREEN"))))))</f>
        <v>GREEN</v>
      </c>
      <c r="M24" s="53" t="s">
        <v>323</v>
      </c>
    </row>
    <row r="25" customFormat="false" ht="30" hidden="false" customHeight="true" outlineLevel="0" collapsed="false">
      <c r="A25" s="52" t="n">
        <v>17</v>
      </c>
      <c r="B25" s="53" t="s">
        <v>324</v>
      </c>
      <c r="C25" s="53" t="s">
        <v>296</v>
      </c>
      <c r="D25" s="55" t="n">
        <f aca="false">EventDate-66</f>
        <v>46636</v>
      </c>
      <c r="E25" s="55" t="n">
        <f aca="false">EventDate-42</f>
        <v>46660</v>
      </c>
      <c r="F25" s="55" t="n">
        <f aca="false">E25+14</f>
        <v>46674</v>
      </c>
      <c r="G25" s="52" t="s">
        <v>157</v>
      </c>
      <c r="H25" s="61" t="n">
        <v>0</v>
      </c>
      <c r="I25" s="52" t="n">
        <f aca="true">IF(E25="","",IF(G25="Done","Done",E25-TODAY()))</f>
        <v>339</v>
      </c>
      <c r="J25" s="61" t="n">
        <f aca="true">IF(OR(D25="",E25=""),"",IF(E25&gt;D25,MAX(0,MIN(1,(TODAY()-D25)/(E25-D25))),IF(TODAY()&gt;=E25,1,0)))</f>
        <v>0</v>
      </c>
      <c r="K25" s="52" t="n">
        <f aca="false">IF(J25="","",ROUND(J25*100-H25*100,0))</f>
        <v>0</v>
      </c>
      <c r="L25" s="62" t="str">
        <f aca="true">IF(OR(D25="",E25=""),"GREY",IF(G25="On hold","GREY",IF(G25="Done","GREEN",IF(E25&lt;TODAY(),"RED",IF(K25&gt;=30,"RED",IF(K25&gt;=15,"AMBER","GREEN"))))))</f>
        <v>GREEN</v>
      </c>
      <c r="M25" s="53" t="s">
        <v>325</v>
      </c>
    </row>
    <row r="26" customFormat="false" ht="30" hidden="false" customHeight="true" outlineLevel="0" collapsed="false">
      <c r="A26" s="52" t="n">
        <v>18</v>
      </c>
      <c r="B26" s="53" t="s">
        <v>326</v>
      </c>
      <c r="C26" s="53" t="s">
        <v>296</v>
      </c>
      <c r="D26" s="55" t="n">
        <f aca="false">EventDate-45</f>
        <v>46657</v>
      </c>
      <c r="E26" s="55" t="n">
        <f aca="false">EventDate-42</f>
        <v>46660</v>
      </c>
      <c r="F26" s="55" t="n">
        <f aca="false">E26+14</f>
        <v>46674</v>
      </c>
      <c r="G26" s="52" t="s">
        <v>157</v>
      </c>
      <c r="H26" s="61" t="n">
        <v>0</v>
      </c>
      <c r="I26" s="52" t="n">
        <f aca="true">IF(E26="","",IF(G26="Done","Done",E26-TODAY()))</f>
        <v>339</v>
      </c>
      <c r="J26" s="61" t="n">
        <f aca="true">IF(OR(D26="",E26=""),"",IF(E26&gt;D26,MAX(0,MIN(1,(TODAY()-D26)/(E26-D26))),IF(TODAY()&gt;=E26,1,0)))</f>
        <v>0</v>
      </c>
      <c r="K26" s="52" t="n">
        <f aca="false">IF(J26="","",ROUND(J26*100-H26*100,0))</f>
        <v>0</v>
      </c>
      <c r="L26" s="62" t="str">
        <f aca="true">IF(OR(D26="",E26=""),"GREY",IF(G26="On hold","GREY",IF(G26="Done","GREEN",IF(E26&lt;TODAY(),"RED",IF(K26&gt;=30,"RED",IF(K26&gt;=15,"AMBER","GREEN"))))))</f>
        <v>GREEN</v>
      </c>
      <c r="M26" s="53" t="s">
        <v>237</v>
      </c>
    </row>
    <row r="27" customFormat="false" ht="18" hidden="false" customHeight="true" outlineLevel="0" collapsed="false">
      <c r="A27" s="63" t="s">
        <v>185</v>
      </c>
      <c r="B27" s="63"/>
      <c r="C27" s="63"/>
      <c r="D27" s="63"/>
      <c r="E27" s="63"/>
      <c r="F27" s="63"/>
      <c r="G27" s="63"/>
      <c r="H27" s="63"/>
      <c r="I27" s="63"/>
      <c r="J27" s="63"/>
      <c r="K27" s="63"/>
      <c r="L27" s="63"/>
      <c r="M27" s="63"/>
    </row>
    <row r="28" customFormat="false" ht="30" hidden="false" customHeight="true" outlineLevel="0" collapsed="false">
      <c r="A28" s="64" t="n">
        <v>19</v>
      </c>
      <c r="B28" s="65" t="s">
        <v>327</v>
      </c>
      <c r="C28" s="65" t="s">
        <v>296</v>
      </c>
      <c r="D28" s="66" t="n">
        <f aca="false">EventDate-24</f>
        <v>46678</v>
      </c>
      <c r="E28" s="66" t="n">
        <f aca="false">EventDate-20</f>
        <v>46682</v>
      </c>
      <c r="F28" s="66" t="n">
        <f aca="false">E28</f>
        <v>46682</v>
      </c>
      <c r="G28" s="64" t="s">
        <v>157</v>
      </c>
      <c r="H28" s="67" t="n">
        <v>0</v>
      </c>
      <c r="I28" s="64" t="n">
        <f aca="true">IF(E28="","",IF(G28="Done","Done",E28-TODAY()))</f>
        <v>361</v>
      </c>
      <c r="J28" s="67" t="n">
        <f aca="true">IF(OR(D28="",E28=""),"",IF(E28&gt;D28,MAX(0,MIN(1,(TODAY()-D28)/(E28-D28))),IF(TODAY()&gt;=E28,1,0)))</f>
        <v>0</v>
      </c>
      <c r="K28" s="64" t="n">
        <f aca="false">IF(J28="","",ROUND(J28*100-H28*100,0))</f>
        <v>0</v>
      </c>
      <c r="L28" s="68" t="str">
        <f aca="true">IF(OR(D28="",E28=""),"GREY",IF(G28="On hold","GREY",IF(G28="Done","GREEN",IF(E28&lt;TODAY(),"RED",IF(K28&gt;=30,"RED",IF(K28&gt;=15,"AMBER","GREEN"))))))</f>
        <v>GREEN</v>
      </c>
      <c r="M28" s="65" t="s">
        <v>328</v>
      </c>
    </row>
    <row r="29" customFormat="false" ht="30" hidden="false" customHeight="true" outlineLevel="0" collapsed="false">
      <c r="A29" s="64" t="n">
        <v>20</v>
      </c>
      <c r="B29" s="65" t="s">
        <v>329</v>
      </c>
      <c r="C29" s="65" t="s">
        <v>296</v>
      </c>
      <c r="D29" s="66" t="n">
        <f aca="false">EventDate-17</f>
        <v>46685</v>
      </c>
      <c r="E29" s="66" t="n">
        <f aca="false">EventDate-6</f>
        <v>46696</v>
      </c>
      <c r="F29" s="66" t="n">
        <f aca="false">E29</f>
        <v>46696</v>
      </c>
      <c r="G29" s="64" t="s">
        <v>157</v>
      </c>
      <c r="H29" s="67" t="n">
        <v>0</v>
      </c>
      <c r="I29" s="64" t="n">
        <f aca="true">IF(E29="","",IF(G29="Done","Done",E29-TODAY()))</f>
        <v>375</v>
      </c>
      <c r="J29" s="67" t="n">
        <f aca="true">IF(OR(D29="",E29=""),"",IF(E29&gt;D29,MAX(0,MIN(1,(TODAY()-D29)/(E29-D29))),IF(TODAY()&gt;=E29,1,0)))</f>
        <v>0</v>
      </c>
      <c r="K29" s="64" t="n">
        <f aca="false">IF(J29="","",ROUND(J29*100-H29*100,0))</f>
        <v>0</v>
      </c>
      <c r="L29" s="68" t="str">
        <f aca="true">IF(OR(D29="",E29=""),"GREY",IF(G29="On hold","GREY",IF(G29="Done","GREEN",IF(E29&lt;TODAY(),"RED",IF(K29&gt;=30,"RED",IF(K29&gt;=15,"AMBER","GREEN"))))))</f>
        <v>GREEN</v>
      </c>
      <c r="M29" s="65" t="s">
        <v>328</v>
      </c>
    </row>
    <row r="30" customFormat="false" ht="30" hidden="false" customHeight="true" outlineLevel="0" collapsed="false">
      <c r="A30" s="64" t="n">
        <v>21</v>
      </c>
      <c r="B30" s="65" t="s">
        <v>330</v>
      </c>
      <c r="C30" s="65" t="s">
        <v>296</v>
      </c>
      <c r="D30" s="66" t="n">
        <f aca="false">EventDate-10</f>
        <v>46692</v>
      </c>
      <c r="E30" s="66" t="n">
        <f aca="false">EventDate-3</f>
        <v>46699</v>
      </c>
      <c r="F30" s="66" t="n">
        <f aca="false">E30</f>
        <v>46699</v>
      </c>
      <c r="G30" s="64" t="s">
        <v>157</v>
      </c>
      <c r="H30" s="67" t="n">
        <v>0</v>
      </c>
      <c r="I30" s="64" t="n">
        <f aca="true">IF(E30="","",IF(G30="Done","Done",E30-TODAY()))</f>
        <v>378</v>
      </c>
      <c r="J30" s="67" t="n">
        <f aca="true">IF(OR(D30="",E30=""),"",IF(E30&gt;D30,MAX(0,MIN(1,(TODAY()-D30)/(E30-D30))),IF(TODAY()&gt;=E30,1,0)))</f>
        <v>0</v>
      </c>
      <c r="K30" s="64" t="n">
        <f aca="false">IF(J30="","",ROUND(J30*100-H30*100,0))</f>
        <v>0</v>
      </c>
      <c r="L30" s="68" t="str">
        <f aca="true">IF(OR(D30="",E30=""),"GREY",IF(G30="On hold","GREY",IF(G30="Done","GREEN",IF(E30&lt;TODAY(),"RED",IF(K30&gt;=30,"RED",IF(K30&gt;=15,"AMBER","GREEN"))))))</f>
        <v>GREEN</v>
      </c>
      <c r="M30" s="65" t="s">
        <v>331</v>
      </c>
    </row>
    <row r="31" customFormat="false" ht="30" hidden="false" customHeight="true" outlineLevel="0" collapsed="false">
      <c r="A31" s="64" t="n">
        <v>22</v>
      </c>
      <c r="B31" s="65" t="s">
        <v>332</v>
      </c>
      <c r="C31" s="65" t="s">
        <v>296</v>
      </c>
      <c r="D31" s="66" t="n">
        <f aca="false">EventDate-3</f>
        <v>46699</v>
      </c>
      <c r="E31" s="66" t="n">
        <f aca="false">EventDate-1</f>
        <v>46701</v>
      </c>
      <c r="F31" s="66" t="n">
        <f aca="false">E31</f>
        <v>46701</v>
      </c>
      <c r="G31" s="64" t="s">
        <v>157</v>
      </c>
      <c r="H31" s="67" t="n">
        <v>0</v>
      </c>
      <c r="I31" s="64" t="n">
        <f aca="true">IF(E31="","",IF(G31="Done","Done",E31-TODAY()))</f>
        <v>380</v>
      </c>
      <c r="J31" s="67" t="n">
        <f aca="true">IF(OR(D31="",E31=""),"",IF(E31&gt;D31,MAX(0,MIN(1,(TODAY()-D31)/(E31-D31))),IF(TODAY()&gt;=E31,1,0)))</f>
        <v>0</v>
      </c>
      <c r="K31" s="64" t="n">
        <f aca="false">IF(J31="","",ROUND(J31*100-H31*100,0))</f>
        <v>0</v>
      </c>
      <c r="L31" s="68" t="str">
        <f aca="true">IF(OR(D31="",E31=""),"GREY",IF(G31="On hold","GREY",IF(G31="Done","GREEN",IF(E31&lt;TODAY(),"RED",IF(K31&gt;=30,"RED",IF(K31&gt;=15,"AMBER","GREEN"))))))</f>
        <v>GREEN</v>
      </c>
      <c r="M31" s="65" t="s">
        <v>333</v>
      </c>
    </row>
    <row r="32" customFormat="false" ht="18" hidden="false" customHeight="true" outlineLevel="0" collapsed="false">
      <c r="A32" s="60" t="s">
        <v>190</v>
      </c>
      <c r="B32" s="60"/>
      <c r="C32" s="60"/>
      <c r="D32" s="60"/>
      <c r="E32" s="60"/>
      <c r="F32" s="60"/>
      <c r="G32" s="60"/>
      <c r="H32" s="60"/>
      <c r="I32" s="60"/>
      <c r="J32" s="60"/>
      <c r="K32" s="60"/>
      <c r="L32" s="60"/>
      <c r="M32" s="60"/>
    </row>
    <row r="33" customFormat="false" ht="30" hidden="false" customHeight="true" outlineLevel="0" collapsed="false">
      <c r="A33" s="52" t="n">
        <v>23</v>
      </c>
      <c r="B33" s="53" t="s">
        <v>334</v>
      </c>
      <c r="C33" s="53" t="s">
        <v>296</v>
      </c>
      <c r="D33" s="55" t="n">
        <f aca="false">EventDate</f>
        <v>46702</v>
      </c>
      <c r="E33" s="55" t="n">
        <f aca="false">EventDate</f>
        <v>46702</v>
      </c>
      <c r="F33" s="55" t="n">
        <f aca="false">E33</f>
        <v>46702</v>
      </c>
      <c r="G33" s="52" t="s">
        <v>157</v>
      </c>
      <c r="H33" s="61" t="n">
        <v>0</v>
      </c>
      <c r="I33" s="52" t="n">
        <f aca="true">IF(E33="","",IF(G33="Done","Done",E33-TODAY()))</f>
        <v>381</v>
      </c>
      <c r="J33" s="61" t="n">
        <f aca="true">IF(OR(D33="",E33=""),"",IF(E33&gt;D33,MAX(0,MIN(1,(TODAY()-D33)/(E33-D33))),IF(TODAY()&gt;=E33,1,0)))</f>
        <v>0</v>
      </c>
      <c r="K33" s="52" t="n">
        <f aca="false">IF(J33="","",ROUND(J33*100-H33*100,0))</f>
        <v>0</v>
      </c>
      <c r="L33" s="62" t="str">
        <f aca="true">IF(OR(D33="",E33=""),"GREY",IF(G33="On hold","GREY",IF(G33="Done","GREEN",IF(E33&lt;TODAY(),"RED",IF(K33&gt;=30,"RED",IF(K33&gt;=15,"AMBER","GREEN"))))))</f>
        <v>GREEN</v>
      </c>
      <c r="M33" s="53" t="s">
        <v>335</v>
      </c>
    </row>
    <row r="34" customFormat="false" ht="30" hidden="false" customHeight="true" outlineLevel="0" collapsed="false">
      <c r="A34" s="52" t="n">
        <v>24</v>
      </c>
      <c r="B34" s="53" t="s">
        <v>336</v>
      </c>
      <c r="C34" s="53" t="s">
        <v>296</v>
      </c>
      <c r="D34" s="55" t="n">
        <f aca="false">EventDate+1</f>
        <v>46703</v>
      </c>
      <c r="E34" s="55" t="n">
        <f aca="false">EventDate+8</f>
        <v>46710</v>
      </c>
      <c r="F34" s="55" t="n">
        <f aca="false">E34+14</f>
        <v>46724</v>
      </c>
      <c r="G34" s="52" t="s">
        <v>157</v>
      </c>
      <c r="H34" s="61" t="n">
        <v>0</v>
      </c>
      <c r="I34" s="52" t="n">
        <f aca="true">IF(E34="","",IF(G34="Done","Done",E34-TODAY()))</f>
        <v>389</v>
      </c>
      <c r="J34" s="61" t="n">
        <f aca="true">IF(OR(D34="",E34=""),"",IF(E34&gt;D34,MAX(0,MIN(1,(TODAY()-D34)/(E34-D34))),IF(TODAY()&gt;=E34,1,0)))</f>
        <v>0</v>
      </c>
      <c r="K34" s="52" t="n">
        <f aca="false">IF(J34="","",ROUND(J34*100-H34*100,0))</f>
        <v>0</v>
      </c>
      <c r="L34" s="62" t="str">
        <f aca="true">IF(OR(D34="",E34=""),"GREY",IF(G34="On hold","GREY",IF(G34="Done","GREEN",IF(E34&lt;TODAY(),"RED",IF(K34&gt;=30,"RED",IF(K34&gt;=15,"AMBER","GREEN"))))))</f>
        <v>GREEN</v>
      </c>
      <c r="M34" s="53" t="s">
        <v>273</v>
      </c>
    </row>
    <row r="35" customFormat="false" ht="30" hidden="false" customHeight="true" outlineLevel="0" collapsed="false">
      <c r="A35" s="52" t="n">
        <v>25</v>
      </c>
      <c r="B35" s="53" t="s">
        <v>337</v>
      </c>
      <c r="C35" s="53" t="s">
        <v>296</v>
      </c>
      <c r="D35" s="55" t="n">
        <f aca="false">EventDate+4</f>
        <v>46706</v>
      </c>
      <c r="E35" s="55" t="n">
        <f aca="false">EventDate+22</f>
        <v>46724</v>
      </c>
      <c r="F35" s="55" t="n">
        <f aca="false">E35+14</f>
        <v>46738</v>
      </c>
      <c r="G35" s="52" t="s">
        <v>157</v>
      </c>
      <c r="H35" s="61" t="n">
        <v>0</v>
      </c>
      <c r="I35" s="52" t="n">
        <f aca="true">IF(E35="","",IF(G35="Done","Done",E35-TODAY()))</f>
        <v>403</v>
      </c>
      <c r="J35" s="61" t="n">
        <f aca="true">IF(OR(D35="",E35=""),"",IF(E35&gt;D35,MAX(0,MIN(1,(TODAY()-D35)/(E35-D35))),IF(TODAY()&gt;=E35,1,0)))</f>
        <v>0</v>
      </c>
      <c r="K35" s="52" t="n">
        <f aca="false">IF(J35="","",ROUND(J35*100-H35*100,0))</f>
        <v>0</v>
      </c>
      <c r="L35" s="62" t="str">
        <f aca="true">IF(OR(D35="",E35=""),"GREY",IF(G35="On hold","GREY",IF(G35="Done","GREEN",IF(E35&lt;TODAY(),"RED",IF(K35&gt;=30,"RED",IF(K35&gt;=15,"AMBER","GREEN"))))))</f>
        <v>GREEN</v>
      </c>
      <c r="M35" s="53" t="s">
        <v>273</v>
      </c>
    </row>
  </sheetData>
  <mergeCells count="9">
    <mergeCell ref="A1:M1"/>
    <mergeCell ref="A2:M2"/>
    <mergeCell ref="A3:C3"/>
    <mergeCell ref="A4:M4"/>
    <mergeCell ref="A6:M6"/>
    <mergeCell ref="A9:M9"/>
    <mergeCell ref="A19:M19"/>
    <mergeCell ref="A27:M27"/>
    <mergeCell ref="A32:M32"/>
  </mergeCells>
  <conditionalFormatting sqref="L6:L35">
    <cfRule type="cellIs" priority="2" operator="equal" aboveAverage="0" equalAverage="0" bottom="0" percent="0" rank="0" text="" dxfId="0">
      <formula>"RED"</formula>
    </cfRule>
    <cfRule type="cellIs" priority="3" operator="equal" aboveAverage="0" equalAverage="0" bottom="0" percent="0" rank="0" text="" dxfId="8">
      <formula>"AMBER"</formula>
    </cfRule>
    <cfRule type="cellIs" priority="4" operator="equal" aboveAverage="0" equalAverage="0" bottom="0" percent="0" rank="0" text="" dxfId="9">
      <formula>"GREEN"</formula>
    </cfRule>
    <cfRule type="cellIs" priority="5" operator="equal" aboveAverage="0" equalAverage="0" bottom="0" percent="0" rank="0" text="" dxfId="10">
      <formula>"GREY"</formula>
    </cfRule>
  </conditionalFormatting>
  <conditionalFormatting sqref="G6:G35">
    <cfRule type="cellIs" priority="6" operator="equal" aboveAverage="0" equalAverage="0" bottom="0" percent="0" rank="0" text="" dxfId="3">
      <formula>"Done"</formula>
    </cfRule>
    <cfRule type="cellIs" priority="7" operator="equal" aboveAverage="0" equalAverage="0" bottom="0" percent="0" rank="0" text="" dxfId="11">
      <formula>"In progress"</formula>
    </cfRule>
    <cfRule type="cellIs" priority="8" operator="equal" aboveAverage="0" equalAverage="0" bottom="0" percent="0" rank="0" text="" dxfId="5">
      <formula>"Blocked"</formula>
    </cfRule>
    <cfRule type="cellIs" priority="9" operator="equal" aboveAverage="0" equalAverage="0" bottom="0" percent="0" rank="0" text="" dxfId="12">
      <formula>"On hold"</formula>
    </cfRule>
  </conditionalFormatting>
  <conditionalFormatting sqref="H6:H35">
    <cfRule type="colorScale" priority="10">
      <colorScale>
        <cfvo type="num" val="0"/>
        <cfvo type="num" val="1"/>
        <color rgb="FFFFFFFF"/>
        <color rgb="FFA9D08E"/>
      </colorScale>
    </cfRule>
  </conditionalFormatting>
  <conditionalFormatting sqref="M3">
    <cfRule type="expression" priority="11" aboveAverage="0" equalAverage="0" bottom="0" percent="0" rank="0" text="" dxfId="3">
      <formula>$I$3+$K$3=0</formula>
    </cfRule>
    <cfRule type="expression" priority="12" aboveAverage="0" equalAverage="0" bottom="0" percent="0" rank="0" text="" dxfId="5">
      <formula>$I$3+$K$3&gt;0</formula>
    </cfRule>
  </conditionalFormatting>
  <dataValidations count="2">
    <dataValidation allowBlank="false" error="Enter a value between 0% and 100%." errorStyle="stop" errorTitle="Progress" operator="between" showDropDown="false" showErrorMessage="false" showInputMessage="false" sqref="H6:H35" type="decimal">
      <formula1>0</formula1>
      <formula2>1</formula2>
    </dataValidation>
    <dataValidation allowBlank="false" errorStyle="stop" operator="between" showDropDown="false" showErrorMessage="false" showInputMessage="false" sqref="G6:G35" type="list">
      <formula1>"Not started,In progress,Done,Blocked,On hold"</formula1>
      <formula2>0</formula2>
    </dataValidation>
  </dataValidations>
  <printOptions headings="false" gridLines="false" gridLinesSet="true" horizontalCentered="false" verticalCentered="false"/>
  <pageMargins left="0.4" right="0.4" top="0.5" bottom="0.5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&amp;A  -  page &amp;P of &amp;N  -  PROPOSED date, subject to sponsor approval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M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22"/>
    <col collapsed="false" customWidth="true" hidden="false" outlineLevel="0" max="4" min="4" style="0" width="12"/>
    <col collapsed="false" customWidth="true" hidden="false" outlineLevel="0" max="5" min="5" style="0" width="13"/>
    <col collapsed="false" customWidth="true" hidden="false" outlineLevel="0" max="7" min="6" style="0" width="12"/>
    <col collapsed="false" customWidth="true" hidden="false" outlineLevel="0" max="8" min="8" style="0" width="10"/>
    <col collapsed="false" customWidth="true" hidden="false" outlineLevel="0" max="10" min="9" style="0" width="8"/>
    <col collapsed="false" customWidth="true" hidden="false" outlineLevel="0" max="12" min="11" style="0" width="9"/>
    <col collapsed="false" customWidth="true" hidden="false" outlineLevel="0" max="13" min="13" style="0" width="62"/>
  </cols>
  <sheetData>
    <row r="1" customFormat="false" ht="27.75" hidden="false" customHeight="true" outlineLevel="0" collapsed="false">
      <c r="A1" s="42" t="s">
        <v>338</v>
      </c>
      <c r="B1" s="42"/>
      <c r="C1" s="42"/>
      <c r="D1" s="42"/>
      <c r="E1" s="42"/>
      <c r="F1" s="42"/>
      <c r="G1" s="42"/>
      <c r="H1" s="42"/>
      <c r="I1" s="42"/>
      <c r="J1" s="42"/>
      <c r="K1" s="42"/>
      <c r="L1" s="42"/>
      <c r="M1" s="42"/>
    </row>
    <row r="2" customFormat="false" ht="19.5" hidden="false" customHeight="true" outlineLevel="0" collapsed="false">
      <c r="A2" s="43" t="s">
        <v>86</v>
      </c>
      <c r="B2" s="43"/>
      <c r="C2" s="43"/>
      <c r="D2" s="43"/>
      <c r="E2" s="43"/>
      <c r="F2" s="43"/>
      <c r="G2" s="43"/>
      <c r="H2" s="43"/>
      <c r="I2" s="43"/>
      <c r="J2" s="43"/>
      <c r="K2" s="43"/>
      <c r="L2" s="43"/>
      <c r="M2" s="43"/>
    </row>
    <row r="3" customFormat="false" ht="19.5" hidden="false" customHeight="true" outlineLevel="0" collapsed="false">
      <c r="A3" s="56" t="s">
        <v>339</v>
      </c>
      <c r="B3" s="56"/>
      <c r="C3" s="56"/>
      <c r="D3" s="57" t="s">
        <v>16</v>
      </c>
      <c r="E3" s="57" t="n">
        <f aca="false">COUNT(A6:A37)</f>
        <v>27</v>
      </c>
      <c r="F3" s="57" t="s">
        <v>17</v>
      </c>
      <c r="G3" s="57" t="n">
        <f aca="false">COUNTIF(G6:G37,"Done")</f>
        <v>0</v>
      </c>
      <c r="H3" s="57" t="s">
        <v>19</v>
      </c>
      <c r="I3" s="57" t="n">
        <f aca="false">COUNTIF(L6:L37,"RED")</f>
        <v>0</v>
      </c>
      <c r="J3" s="57" t="s">
        <v>20</v>
      </c>
      <c r="K3" s="57" t="n">
        <f aca="false">COUNTIF(L6:L37,"AMBER")</f>
        <v>0</v>
      </c>
      <c r="L3" s="57" t="s">
        <v>141</v>
      </c>
      <c r="M3" s="58" t="str">
        <f aca="false" t="array" ref="M3:M3">IF(I3+K3=0,"Nothing behind schedule",_xlfn.TEXTJOIN(", ",TRUE(),IF((L6:L37="RED")+(L6:L37="AMBER"),"#"&amp;A6:A37,"")))</f>
        <v>Nothing behind schedule</v>
      </c>
    </row>
    <row r="4" customFormat="false" ht="25.5" hidden="false" customHeight="true" outlineLevel="0" collapsed="false">
      <c r="A4" s="59" t="s">
        <v>142</v>
      </c>
      <c r="B4" s="59"/>
      <c r="C4" s="59"/>
      <c r="D4" s="59"/>
      <c r="E4" s="59"/>
      <c r="F4" s="59"/>
      <c r="G4" s="59"/>
      <c r="H4" s="59"/>
      <c r="I4" s="59"/>
      <c r="J4" s="59"/>
      <c r="K4" s="59"/>
      <c r="L4" s="59"/>
      <c r="M4" s="59"/>
    </row>
    <row r="5" customFormat="false" ht="31.5" hidden="false" customHeight="true" outlineLevel="0" collapsed="false">
      <c r="A5" s="10" t="s">
        <v>143</v>
      </c>
      <c r="B5" s="10" t="s">
        <v>144</v>
      </c>
      <c r="C5" s="10" t="s">
        <v>145</v>
      </c>
      <c r="D5" s="10" t="s">
        <v>146</v>
      </c>
      <c r="E5" s="10" t="s">
        <v>147</v>
      </c>
      <c r="F5" s="10" t="s">
        <v>148</v>
      </c>
      <c r="G5" s="10" t="s">
        <v>23</v>
      </c>
      <c r="H5" s="10" t="s">
        <v>149</v>
      </c>
      <c r="I5" s="10" t="s">
        <v>150</v>
      </c>
      <c r="J5" s="10" t="s">
        <v>151</v>
      </c>
      <c r="K5" s="10" t="s">
        <v>152</v>
      </c>
      <c r="L5" s="10" t="s">
        <v>153</v>
      </c>
      <c r="M5" s="10" t="s">
        <v>154</v>
      </c>
    </row>
    <row r="6" customFormat="false" ht="18" hidden="false" customHeight="true" outlineLevel="0" collapsed="false">
      <c r="A6" s="60" t="s">
        <v>155</v>
      </c>
      <c r="B6" s="60"/>
      <c r="C6" s="60"/>
      <c r="D6" s="60"/>
      <c r="E6" s="60"/>
      <c r="F6" s="60"/>
      <c r="G6" s="60"/>
      <c r="H6" s="60"/>
      <c r="I6" s="60"/>
      <c r="J6" s="60"/>
      <c r="K6" s="60"/>
      <c r="L6" s="60"/>
      <c r="M6" s="60"/>
    </row>
    <row r="7" customFormat="false" ht="43.5" hidden="false" customHeight="true" outlineLevel="0" collapsed="false">
      <c r="A7" s="52" t="n">
        <v>1</v>
      </c>
      <c r="B7" s="53" t="s">
        <v>340</v>
      </c>
      <c r="C7" s="53" t="s">
        <v>341</v>
      </c>
      <c r="D7" s="55" t="n">
        <v>46321</v>
      </c>
      <c r="E7" s="55" t="n">
        <v>46332</v>
      </c>
      <c r="F7" s="55" t="n">
        <f aca="false">E7+14</f>
        <v>46346</v>
      </c>
      <c r="G7" s="52" t="s">
        <v>157</v>
      </c>
      <c r="H7" s="61" t="n">
        <v>0</v>
      </c>
      <c r="I7" s="52" t="n">
        <f aca="true">IF(E7="","",IF(G7="Done","Done",E7-TODAY()))</f>
        <v>11</v>
      </c>
      <c r="J7" s="61" t="n">
        <f aca="true">IF(OR(D7="",E7=""),"",IF(E7&gt;D7,MAX(0,MIN(1,(TODAY()-D7)/(E7-D7))),IF(TODAY()&gt;=E7,1,0)))</f>
        <v>0</v>
      </c>
      <c r="K7" s="52" t="n">
        <f aca="false">IF(J7="","",ROUND(J7*100-H7*100,0))</f>
        <v>0</v>
      </c>
      <c r="L7" s="62" t="str">
        <f aca="true">IF(OR(D7="",E7=""),"GREY",IF(G7="On hold","GREY",IF(G7="Done","GREEN",IF(E7&lt;TODAY(),"RED",IF(K7&gt;=30,"RED",IF(K7&gt;=15,"AMBER","GREEN"))))))</f>
        <v>GREEN</v>
      </c>
      <c r="M7" s="53" t="s">
        <v>342</v>
      </c>
    </row>
    <row r="8" customFormat="false" ht="30" hidden="false" customHeight="true" outlineLevel="0" collapsed="false">
      <c r="A8" s="52" t="n">
        <v>2</v>
      </c>
      <c r="B8" s="53" t="s">
        <v>343</v>
      </c>
      <c r="C8" s="53" t="s">
        <v>341</v>
      </c>
      <c r="D8" s="55" t="n">
        <v>46321</v>
      </c>
      <c r="E8" s="55" t="n">
        <v>46339</v>
      </c>
      <c r="F8" s="55" t="n">
        <f aca="false">E8+14</f>
        <v>46353</v>
      </c>
      <c r="G8" s="52" t="s">
        <v>157</v>
      </c>
      <c r="H8" s="61" t="n">
        <v>0</v>
      </c>
      <c r="I8" s="52" t="n">
        <f aca="true">IF(E8="","",IF(G8="Done","Done",E8-TODAY()))</f>
        <v>18</v>
      </c>
      <c r="J8" s="61" t="n">
        <f aca="true">IF(OR(D8="",E8=""),"",IF(E8&gt;D8,MAX(0,MIN(1,(TODAY()-D8)/(E8-D8))),IF(TODAY()&gt;=E8,1,0)))</f>
        <v>0</v>
      </c>
      <c r="K8" s="52" t="n">
        <f aca="false">IF(J8="","",ROUND(J8*100-H8*100,0))</f>
        <v>0</v>
      </c>
      <c r="L8" s="62" t="str">
        <f aca="true">IF(OR(D8="",E8=""),"GREY",IF(G8="On hold","GREY",IF(G8="Done","GREEN",IF(E8&lt;TODAY(),"RED",IF(K8&gt;=30,"RED",IF(K8&gt;=15,"AMBER","GREEN"))))))</f>
        <v>GREEN</v>
      </c>
      <c r="M8" s="53" t="s">
        <v>344</v>
      </c>
    </row>
    <row r="9" customFormat="false" ht="30" hidden="false" customHeight="true" outlineLevel="0" collapsed="false">
      <c r="A9" s="52" t="n">
        <v>3</v>
      </c>
      <c r="B9" s="53" t="s">
        <v>345</v>
      </c>
      <c r="C9" s="53" t="s">
        <v>341</v>
      </c>
      <c r="D9" s="55" t="n">
        <v>46335</v>
      </c>
      <c r="E9" s="55" t="n">
        <v>46367</v>
      </c>
      <c r="F9" s="55" t="n">
        <f aca="false">E9+14</f>
        <v>46381</v>
      </c>
      <c r="G9" s="52" t="s">
        <v>157</v>
      </c>
      <c r="H9" s="61" t="n">
        <v>0</v>
      </c>
      <c r="I9" s="52" t="n">
        <f aca="true">IF(E9="","",IF(G9="Done","Done",E9-TODAY()))</f>
        <v>46</v>
      </c>
      <c r="J9" s="61" t="n">
        <f aca="true">IF(OR(D9="",E9=""),"",IF(E9&gt;D9,MAX(0,MIN(1,(TODAY()-D9)/(E9-D9))),IF(TODAY()&gt;=E9,1,0)))</f>
        <v>0</v>
      </c>
      <c r="K9" s="52" t="n">
        <f aca="false">IF(J9="","",ROUND(J9*100-H9*100,0))</f>
        <v>0</v>
      </c>
      <c r="L9" s="62" t="str">
        <f aca="true">IF(OR(D9="",E9=""),"GREY",IF(G9="On hold","GREY",IF(G9="Done","GREEN",IF(E9&lt;TODAY(),"RED",IF(K9&gt;=30,"RED",IF(K9&gt;=15,"AMBER","GREEN"))))))</f>
        <v>GREEN</v>
      </c>
      <c r="M9" s="53" t="s">
        <v>346</v>
      </c>
    </row>
    <row r="10" customFormat="false" ht="43.5" hidden="false" customHeight="true" outlineLevel="0" collapsed="false">
      <c r="A10" s="52" t="n">
        <v>4</v>
      </c>
      <c r="B10" s="53" t="s">
        <v>347</v>
      </c>
      <c r="C10" s="53" t="s">
        <v>348</v>
      </c>
      <c r="D10" s="55" t="n">
        <v>46342</v>
      </c>
      <c r="E10" s="55" t="n">
        <v>46367</v>
      </c>
      <c r="F10" s="55" t="n">
        <f aca="false">E10+14</f>
        <v>46381</v>
      </c>
      <c r="G10" s="52" t="s">
        <v>157</v>
      </c>
      <c r="H10" s="61" t="n">
        <v>0</v>
      </c>
      <c r="I10" s="52" t="n">
        <f aca="true">IF(E10="","",IF(G10="Done","Done",E10-TODAY()))</f>
        <v>46</v>
      </c>
      <c r="J10" s="61" t="n">
        <f aca="true">IF(OR(D10="",E10=""),"",IF(E10&gt;D10,MAX(0,MIN(1,(TODAY()-D10)/(E10-D10))),IF(TODAY()&gt;=E10,1,0)))</f>
        <v>0</v>
      </c>
      <c r="K10" s="52" t="n">
        <f aca="false">IF(J10="","",ROUND(J10*100-H10*100,0))</f>
        <v>0</v>
      </c>
      <c r="L10" s="62" t="str">
        <f aca="true">IF(OR(D10="",E10=""),"GREY",IF(G10="On hold","GREY",IF(G10="Done","GREEN",IF(E10&lt;TODAY(),"RED",IF(K10&gt;=30,"RED",IF(K10&gt;=15,"AMBER","GREEN"))))))</f>
        <v>GREEN</v>
      </c>
      <c r="M10" s="53" t="s">
        <v>349</v>
      </c>
    </row>
    <row r="11" customFormat="false" ht="30" hidden="false" customHeight="true" outlineLevel="0" collapsed="false">
      <c r="A11" s="52" t="n">
        <v>5</v>
      </c>
      <c r="B11" s="53" t="s">
        <v>350</v>
      </c>
      <c r="C11" s="53" t="s">
        <v>348</v>
      </c>
      <c r="D11" s="55" t="n">
        <v>46342</v>
      </c>
      <c r="E11" s="55" t="n">
        <v>46374</v>
      </c>
      <c r="F11" s="55" t="n">
        <f aca="false">E11+14</f>
        <v>46388</v>
      </c>
      <c r="G11" s="52" t="s">
        <v>157</v>
      </c>
      <c r="H11" s="61" t="n">
        <v>0</v>
      </c>
      <c r="I11" s="52" t="n">
        <f aca="true">IF(E11="","",IF(G11="Done","Done",E11-TODAY()))</f>
        <v>53</v>
      </c>
      <c r="J11" s="61" t="n">
        <f aca="true">IF(OR(D11="",E11=""),"",IF(E11&gt;D11,MAX(0,MIN(1,(TODAY()-D11)/(E11-D11))),IF(TODAY()&gt;=E11,1,0)))</f>
        <v>0</v>
      </c>
      <c r="K11" s="52" t="n">
        <f aca="false">IF(J11="","",ROUND(J11*100-H11*100,0))</f>
        <v>0</v>
      </c>
      <c r="L11" s="62" t="str">
        <f aca="true">IF(OR(D11="",E11=""),"GREY",IF(G11="On hold","GREY",IF(G11="Done","GREEN",IF(E11&lt;TODAY(),"RED",IF(K11&gt;=30,"RED",IF(K11&gt;=15,"AMBER","GREEN"))))))</f>
        <v>GREEN</v>
      </c>
      <c r="M11" s="53" t="s">
        <v>349</v>
      </c>
    </row>
    <row r="12" customFormat="false" ht="30" hidden="false" customHeight="true" outlineLevel="0" collapsed="false">
      <c r="A12" s="52" t="n">
        <v>6</v>
      </c>
      <c r="B12" s="53" t="s">
        <v>351</v>
      </c>
      <c r="C12" s="53" t="s">
        <v>352</v>
      </c>
      <c r="D12" s="55" t="n">
        <v>46342</v>
      </c>
      <c r="E12" s="55" t="n">
        <v>46477</v>
      </c>
      <c r="F12" s="55" t="n">
        <f aca="false">E12+14</f>
        <v>46491</v>
      </c>
      <c r="G12" s="52" t="s">
        <v>157</v>
      </c>
      <c r="H12" s="61" t="n">
        <v>0</v>
      </c>
      <c r="I12" s="52" t="n">
        <f aca="true">IF(E12="","",IF(G12="Done","Done",E12-TODAY()))</f>
        <v>156</v>
      </c>
      <c r="J12" s="61" t="n">
        <f aca="true">IF(OR(D12="",E12=""),"",IF(E12&gt;D12,MAX(0,MIN(1,(TODAY()-D12)/(E12-D12))),IF(TODAY()&gt;=E12,1,0)))</f>
        <v>0</v>
      </c>
      <c r="K12" s="52" t="n">
        <f aca="false">IF(J12="","",ROUND(J12*100-H12*100,0))</f>
        <v>0</v>
      </c>
      <c r="L12" s="62" t="str">
        <f aca="true">IF(OR(D12="",E12=""),"GREY",IF(G12="On hold","GREY",IF(G12="Done","GREEN",IF(E12&lt;TODAY(),"RED",IF(K12&gt;=30,"RED",IF(K12&gt;=15,"AMBER","GREEN"))))))</f>
        <v>GREEN</v>
      </c>
      <c r="M12" s="53" t="s">
        <v>353</v>
      </c>
    </row>
    <row r="13" customFormat="false" ht="30" hidden="false" customHeight="true" outlineLevel="0" collapsed="false">
      <c r="A13" s="52" t="n">
        <v>7</v>
      </c>
      <c r="B13" s="53" t="s">
        <v>354</v>
      </c>
      <c r="C13" s="53" t="s">
        <v>341</v>
      </c>
      <c r="D13" s="55" t="n">
        <v>46356</v>
      </c>
      <c r="E13" s="55" t="n">
        <f aca="false">EventDate-45</f>
        <v>46657</v>
      </c>
      <c r="F13" s="55" t="n">
        <f aca="false">E13+14</f>
        <v>46671</v>
      </c>
      <c r="G13" s="52" t="s">
        <v>157</v>
      </c>
      <c r="H13" s="61" t="n">
        <v>0</v>
      </c>
      <c r="I13" s="52" t="n">
        <f aca="true">IF(E13="","",IF(G13="Done","Done",E13-TODAY()))</f>
        <v>336</v>
      </c>
      <c r="J13" s="61" t="n">
        <f aca="true">IF(OR(D13="",E13=""),"",IF(E13&gt;D13,MAX(0,MIN(1,(TODAY()-D13)/(E13-D13))),IF(TODAY()&gt;=E13,1,0)))</f>
        <v>0</v>
      </c>
      <c r="K13" s="52" t="n">
        <f aca="false">IF(J13="","",ROUND(J13*100-H13*100,0))</f>
        <v>0</v>
      </c>
      <c r="L13" s="62" t="str">
        <f aca="true">IF(OR(D13="",E13=""),"GREY",IF(G13="On hold","GREY",IF(G13="Done","GREEN",IF(E13&lt;TODAY(),"RED",IF(K13&gt;=30,"RED",IF(K13&gt;=15,"AMBER","GREEN"))))))</f>
        <v>GREEN</v>
      </c>
      <c r="M13" s="53" t="s">
        <v>355</v>
      </c>
    </row>
    <row r="14" customFormat="false" ht="43.5" hidden="false" customHeight="true" outlineLevel="0" collapsed="false">
      <c r="A14" s="52" t="n">
        <v>8</v>
      </c>
      <c r="B14" s="53" t="s">
        <v>356</v>
      </c>
      <c r="C14" s="53" t="s">
        <v>357</v>
      </c>
      <c r="D14" s="55" t="n">
        <v>46370</v>
      </c>
      <c r="E14" s="55" t="n">
        <v>46409</v>
      </c>
      <c r="F14" s="55" t="n">
        <f aca="false">E14+14</f>
        <v>46423</v>
      </c>
      <c r="G14" s="52" t="s">
        <v>157</v>
      </c>
      <c r="H14" s="61" t="n">
        <v>0</v>
      </c>
      <c r="I14" s="52" t="n">
        <f aca="true">IF(E14="","",IF(G14="Done","Done",E14-TODAY()))</f>
        <v>88</v>
      </c>
      <c r="J14" s="61" t="n">
        <f aca="true">IF(OR(D14="",E14=""),"",IF(E14&gt;D14,MAX(0,MIN(1,(TODAY()-D14)/(E14-D14))),IF(TODAY()&gt;=E14,1,0)))</f>
        <v>0</v>
      </c>
      <c r="K14" s="52" t="n">
        <f aca="false">IF(J14="","",ROUND(J14*100-H14*100,0))</f>
        <v>0</v>
      </c>
      <c r="L14" s="62" t="str">
        <f aca="true">IF(OR(D14="",E14=""),"GREY",IF(G14="On hold","GREY",IF(G14="Done","GREEN",IF(E14&lt;TODAY(),"RED",IF(K14&gt;=30,"RED",IF(K14&gt;=15,"AMBER","GREEN"))))))</f>
        <v>GREEN</v>
      </c>
      <c r="M14" s="53" t="s">
        <v>358</v>
      </c>
    </row>
    <row r="15" customFormat="false" ht="18" hidden="false" customHeight="true" outlineLevel="0" collapsed="false">
      <c r="A15" s="60" t="s">
        <v>171</v>
      </c>
      <c r="B15" s="60"/>
      <c r="C15" s="60"/>
      <c r="D15" s="60"/>
      <c r="E15" s="60"/>
      <c r="F15" s="60"/>
      <c r="G15" s="60"/>
      <c r="H15" s="60"/>
      <c r="I15" s="60"/>
      <c r="J15" s="60"/>
      <c r="K15" s="60"/>
      <c r="L15" s="60"/>
      <c r="M15" s="60"/>
    </row>
    <row r="16" customFormat="false" ht="30" hidden="false" customHeight="true" outlineLevel="0" collapsed="false">
      <c r="A16" s="52" t="n">
        <v>9</v>
      </c>
      <c r="B16" s="53" t="s">
        <v>359</v>
      </c>
      <c r="C16" s="53" t="s">
        <v>348</v>
      </c>
      <c r="D16" s="55" t="n">
        <v>46391</v>
      </c>
      <c r="E16" s="55" t="n">
        <v>46444</v>
      </c>
      <c r="F16" s="55" t="n">
        <f aca="false">E16+14</f>
        <v>46458</v>
      </c>
      <c r="G16" s="52" t="s">
        <v>157</v>
      </c>
      <c r="H16" s="61" t="n">
        <v>0</v>
      </c>
      <c r="I16" s="52" t="n">
        <f aca="true">IF(E16="","",IF(G16="Done","Done",E16-TODAY()))</f>
        <v>123</v>
      </c>
      <c r="J16" s="61" t="n">
        <f aca="true">IF(OR(D16="",E16=""),"",IF(E16&gt;D16,MAX(0,MIN(1,(TODAY()-D16)/(E16-D16))),IF(TODAY()&gt;=E16,1,0)))</f>
        <v>0</v>
      </c>
      <c r="K16" s="52" t="n">
        <f aca="false">IF(J16="","",ROUND(J16*100-H16*100,0))</f>
        <v>0</v>
      </c>
      <c r="L16" s="62" t="str">
        <f aca="true">IF(OR(D16="",E16=""),"GREY",IF(G16="On hold","GREY",IF(G16="Done","GREEN",IF(E16&lt;TODAY(),"RED",IF(K16&gt;=30,"RED",IF(K16&gt;=15,"AMBER","GREEN"))))))</f>
        <v>GREEN</v>
      </c>
      <c r="M16" s="53" t="s">
        <v>360</v>
      </c>
    </row>
    <row r="17" customFormat="false" ht="43.5" hidden="false" customHeight="true" outlineLevel="0" collapsed="false">
      <c r="A17" s="52" t="n">
        <v>10</v>
      </c>
      <c r="B17" s="53" t="s">
        <v>361</v>
      </c>
      <c r="C17" s="53" t="s">
        <v>348</v>
      </c>
      <c r="D17" s="55" t="n">
        <v>46398</v>
      </c>
      <c r="E17" s="55" t="n">
        <v>46427</v>
      </c>
      <c r="F17" s="55" t="n">
        <f aca="false">E17+14</f>
        <v>46441</v>
      </c>
      <c r="G17" s="52" t="s">
        <v>157</v>
      </c>
      <c r="H17" s="61" t="n">
        <v>0</v>
      </c>
      <c r="I17" s="52" t="n">
        <f aca="true">IF(E17="","",IF(G17="Done","Done",E17-TODAY()))</f>
        <v>106</v>
      </c>
      <c r="J17" s="61" t="n">
        <f aca="true">IF(OR(D17="",E17=""),"",IF(E17&gt;D17,MAX(0,MIN(1,(TODAY()-D17)/(E17-D17))),IF(TODAY()&gt;=E17,1,0)))</f>
        <v>0</v>
      </c>
      <c r="K17" s="52" t="n">
        <f aca="false">IF(J17="","",ROUND(J17*100-H17*100,0))</f>
        <v>0</v>
      </c>
      <c r="L17" s="62" t="str">
        <f aca="true">IF(OR(D17="",E17=""),"GREY",IF(G17="On hold","GREY",IF(G17="Done","GREEN",IF(E17&lt;TODAY(),"RED",IF(K17&gt;=30,"RED",IF(K17&gt;=15,"AMBER","GREEN"))))))</f>
        <v>GREEN</v>
      </c>
      <c r="M17" s="53" t="s">
        <v>362</v>
      </c>
    </row>
    <row r="18" customFormat="false" ht="30" hidden="false" customHeight="true" outlineLevel="0" collapsed="false">
      <c r="A18" s="52" t="n">
        <v>11</v>
      </c>
      <c r="B18" s="53" t="s">
        <v>363</v>
      </c>
      <c r="C18" s="53" t="s">
        <v>341</v>
      </c>
      <c r="D18" s="55" t="n">
        <v>46419</v>
      </c>
      <c r="E18" s="55" t="n">
        <v>46458</v>
      </c>
      <c r="F18" s="55" t="n">
        <f aca="false">E18+14</f>
        <v>46472</v>
      </c>
      <c r="G18" s="52" t="s">
        <v>157</v>
      </c>
      <c r="H18" s="61" t="n">
        <v>0</v>
      </c>
      <c r="I18" s="52" t="n">
        <f aca="true">IF(E18="","",IF(G18="Done","Done",E18-TODAY()))</f>
        <v>137</v>
      </c>
      <c r="J18" s="61" t="n">
        <f aca="true">IF(OR(D18="",E18=""),"",IF(E18&gt;D18,MAX(0,MIN(1,(TODAY()-D18)/(E18-D18))),IF(TODAY()&gt;=E18,1,0)))</f>
        <v>0</v>
      </c>
      <c r="K18" s="52" t="n">
        <f aca="false">IF(J18="","",ROUND(J18*100-H18*100,0))</f>
        <v>0</v>
      </c>
      <c r="L18" s="62" t="str">
        <f aca="true">IF(OR(D18="",E18=""),"GREY",IF(G18="On hold","GREY",IF(G18="Done","GREEN",IF(E18&lt;TODAY(),"RED",IF(K18&gt;=30,"RED",IF(K18&gt;=15,"AMBER","GREEN"))))))</f>
        <v>GREEN</v>
      </c>
      <c r="M18" s="53" t="s">
        <v>364</v>
      </c>
    </row>
    <row r="19" customFormat="false" ht="30" hidden="false" customHeight="true" outlineLevel="0" collapsed="false">
      <c r="A19" s="52" t="n">
        <v>12</v>
      </c>
      <c r="B19" s="53" t="s">
        <v>365</v>
      </c>
      <c r="C19" s="53" t="s">
        <v>341</v>
      </c>
      <c r="D19" s="55" t="n">
        <v>46428</v>
      </c>
      <c r="E19" s="55" t="n">
        <f aca="false">EventDate-48</f>
        <v>46654</v>
      </c>
      <c r="F19" s="55" t="n">
        <f aca="false">E19+14</f>
        <v>46668</v>
      </c>
      <c r="G19" s="52" t="s">
        <v>157</v>
      </c>
      <c r="H19" s="61" t="n">
        <v>0</v>
      </c>
      <c r="I19" s="52" t="n">
        <f aca="true">IF(E19="","",IF(G19="Done","Done",E19-TODAY()))</f>
        <v>333</v>
      </c>
      <c r="J19" s="61" t="n">
        <f aca="true">IF(OR(D19="",E19=""),"",IF(E19&gt;D19,MAX(0,MIN(1,(TODAY()-D19)/(E19-D19))),IF(TODAY()&gt;=E19,1,0)))</f>
        <v>0</v>
      </c>
      <c r="K19" s="52" t="n">
        <f aca="false">IF(J19="","",ROUND(J19*100-H19*100,0))</f>
        <v>0</v>
      </c>
      <c r="L19" s="62" t="str">
        <f aca="true">IF(OR(D19="",E19=""),"GREY",IF(G19="On hold","GREY",IF(G19="Done","GREEN",IF(E19&lt;TODAY(),"RED",IF(K19&gt;=30,"RED",IF(K19&gt;=15,"AMBER","GREEN"))))))</f>
        <v>GREEN</v>
      </c>
      <c r="M19" s="53" t="s">
        <v>366</v>
      </c>
    </row>
    <row r="20" customFormat="false" ht="30" hidden="false" customHeight="true" outlineLevel="0" collapsed="false">
      <c r="A20" s="52" t="n">
        <v>13</v>
      </c>
      <c r="B20" s="53" t="s">
        <v>367</v>
      </c>
      <c r="C20" s="53" t="s">
        <v>348</v>
      </c>
      <c r="D20" s="55" t="n">
        <f aca="false">EventDate-220</f>
        <v>46482</v>
      </c>
      <c r="E20" s="55" t="n">
        <f aca="false">EventDate-76</f>
        <v>46626</v>
      </c>
      <c r="F20" s="55" t="n">
        <f aca="false">E20+14</f>
        <v>46640</v>
      </c>
      <c r="G20" s="52" t="s">
        <v>157</v>
      </c>
      <c r="H20" s="61" t="n">
        <v>0</v>
      </c>
      <c r="I20" s="52" t="n">
        <f aca="true">IF(E20="","",IF(G20="Done","Done",E20-TODAY()))</f>
        <v>305</v>
      </c>
      <c r="J20" s="61" t="n">
        <f aca="true">IF(OR(D20="",E20=""),"",IF(E20&gt;D20,MAX(0,MIN(1,(TODAY()-D20)/(E20-D20))),IF(TODAY()&gt;=E20,1,0)))</f>
        <v>0</v>
      </c>
      <c r="K20" s="52" t="n">
        <f aca="false">IF(J20="","",ROUND(J20*100-H20*100,0))</f>
        <v>0</v>
      </c>
      <c r="L20" s="62" t="str">
        <f aca="true">IF(OR(D20="",E20=""),"GREY",IF(G20="On hold","GREY",IF(G20="Done","GREEN",IF(E20&lt;TODAY(),"RED",IF(K20&gt;=30,"RED",IF(K20&gt;=15,"AMBER","GREEN"))))))</f>
        <v>GREEN</v>
      </c>
      <c r="M20" s="53" t="s">
        <v>269</v>
      </c>
    </row>
    <row r="21" customFormat="false" ht="30" hidden="false" customHeight="true" outlineLevel="0" collapsed="false">
      <c r="A21" s="52" t="n">
        <v>14</v>
      </c>
      <c r="B21" s="53" t="s">
        <v>368</v>
      </c>
      <c r="C21" s="53" t="s">
        <v>341</v>
      </c>
      <c r="D21" s="55" t="n">
        <f aca="false">EventDate-192</f>
        <v>46510</v>
      </c>
      <c r="E21" s="55" t="n">
        <f aca="false">EventDate-167</f>
        <v>46535</v>
      </c>
      <c r="F21" s="55" t="n">
        <f aca="false">E21+14</f>
        <v>46549</v>
      </c>
      <c r="G21" s="52" t="s">
        <v>157</v>
      </c>
      <c r="H21" s="61" t="n">
        <v>0</v>
      </c>
      <c r="I21" s="52" t="n">
        <f aca="true">IF(E21="","",IF(G21="Done","Done",E21-TODAY()))</f>
        <v>214</v>
      </c>
      <c r="J21" s="61" t="n">
        <f aca="true">IF(OR(D21="",E21=""),"",IF(E21&gt;D21,MAX(0,MIN(1,(TODAY()-D21)/(E21-D21))),IF(TODAY()&gt;=E21,1,0)))</f>
        <v>0</v>
      </c>
      <c r="K21" s="52" t="n">
        <f aca="false">IF(J21="","",ROUND(J21*100-H21*100,0))</f>
        <v>0</v>
      </c>
      <c r="L21" s="62" t="str">
        <f aca="true">IF(OR(D21="",E21=""),"GREY",IF(G21="On hold","GREY",IF(G21="Done","GREEN",IF(E21&lt;TODAY(),"RED",IF(K21&gt;=30,"RED",IF(K21&gt;=15,"AMBER","GREEN"))))))</f>
        <v>GREEN</v>
      </c>
      <c r="M21" s="53" t="s">
        <v>369</v>
      </c>
    </row>
    <row r="22" customFormat="false" ht="18" hidden="false" customHeight="true" outlineLevel="0" collapsed="false">
      <c r="A22" s="60" t="s">
        <v>179</v>
      </c>
      <c r="B22" s="60"/>
      <c r="C22" s="60"/>
      <c r="D22" s="60"/>
      <c r="E22" s="60"/>
      <c r="F22" s="60"/>
      <c r="G22" s="60"/>
      <c r="H22" s="60"/>
      <c r="I22" s="60"/>
      <c r="J22" s="60"/>
      <c r="K22" s="60"/>
      <c r="L22" s="60"/>
      <c r="M22" s="60"/>
    </row>
    <row r="23" customFormat="false" ht="30" hidden="false" customHeight="true" outlineLevel="0" collapsed="false">
      <c r="A23" s="52" t="n">
        <v>15</v>
      </c>
      <c r="B23" s="53" t="s">
        <v>370</v>
      </c>
      <c r="C23" s="53" t="s">
        <v>341</v>
      </c>
      <c r="D23" s="55" t="n">
        <f aca="false">EventDate-129</f>
        <v>46573</v>
      </c>
      <c r="E23" s="55" t="n">
        <f aca="false">EventDate-76</f>
        <v>46626</v>
      </c>
      <c r="F23" s="55" t="n">
        <f aca="false">E23+14</f>
        <v>46640</v>
      </c>
      <c r="G23" s="52" t="s">
        <v>157</v>
      </c>
      <c r="H23" s="61" t="n">
        <v>0</v>
      </c>
      <c r="I23" s="52" t="n">
        <f aca="true">IF(E23="","",IF(G23="Done","Done",E23-TODAY()))</f>
        <v>305</v>
      </c>
      <c r="J23" s="61" t="n">
        <f aca="true">IF(OR(D23="",E23=""),"",IF(E23&gt;D23,MAX(0,MIN(1,(TODAY()-D23)/(E23-D23))),IF(TODAY()&gt;=E23,1,0)))</f>
        <v>0</v>
      </c>
      <c r="K23" s="52" t="n">
        <f aca="false">IF(J23="","",ROUND(J23*100-H23*100,0))</f>
        <v>0</v>
      </c>
      <c r="L23" s="62" t="str">
        <f aca="true">IF(OR(D23="",E23=""),"GREY",IF(G23="On hold","GREY",IF(G23="Done","GREEN",IF(E23&lt;TODAY(),"RED",IF(K23&gt;=30,"RED",IF(K23&gt;=15,"AMBER","GREEN"))))))</f>
        <v>GREEN</v>
      </c>
      <c r="M23" s="53" t="s">
        <v>371</v>
      </c>
    </row>
    <row r="24" customFormat="false" ht="30" hidden="false" customHeight="true" outlineLevel="0" collapsed="false">
      <c r="A24" s="52" t="n">
        <v>16</v>
      </c>
      <c r="B24" s="53" t="s">
        <v>372</v>
      </c>
      <c r="C24" s="53" t="s">
        <v>352</v>
      </c>
      <c r="D24" s="55" t="n">
        <f aca="false">EventDate-101</f>
        <v>46601</v>
      </c>
      <c r="E24" s="55" t="n">
        <f aca="false">EventDate-48</f>
        <v>46654</v>
      </c>
      <c r="F24" s="55" t="n">
        <f aca="false">E24+14</f>
        <v>46668</v>
      </c>
      <c r="G24" s="52" t="s">
        <v>157</v>
      </c>
      <c r="H24" s="61" t="n">
        <v>0</v>
      </c>
      <c r="I24" s="52" t="n">
        <f aca="true">IF(E24="","",IF(G24="Done","Done",E24-TODAY()))</f>
        <v>333</v>
      </c>
      <c r="J24" s="61" t="n">
        <f aca="true">IF(OR(D24="",E24=""),"",IF(E24&gt;D24,MAX(0,MIN(1,(TODAY()-D24)/(E24-D24))),IF(TODAY()&gt;=E24,1,0)))</f>
        <v>0</v>
      </c>
      <c r="K24" s="52" t="n">
        <f aca="false">IF(J24="","",ROUND(J24*100-H24*100,0))</f>
        <v>0</v>
      </c>
      <c r="L24" s="62" t="str">
        <f aca="true">IF(OR(D24="",E24=""),"GREY",IF(G24="On hold","GREY",IF(G24="Done","GREEN",IF(E24&lt;TODAY(),"RED",IF(K24&gt;=30,"RED",IF(K24&gt;=15,"AMBER","GREEN"))))))</f>
        <v>GREEN</v>
      </c>
      <c r="M24" s="53" t="s">
        <v>273</v>
      </c>
    </row>
    <row r="25" customFormat="false" ht="30" hidden="false" customHeight="true" outlineLevel="0" collapsed="false">
      <c r="A25" s="52" t="n">
        <v>17</v>
      </c>
      <c r="B25" s="53" t="s">
        <v>373</v>
      </c>
      <c r="C25" s="53" t="s">
        <v>348</v>
      </c>
      <c r="D25" s="55" t="n">
        <f aca="false">EventDate-87</f>
        <v>46615</v>
      </c>
      <c r="E25" s="55" t="n">
        <f aca="false">EventDate-62</f>
        <v>46640</v>
      </c>
      <c r="F25" s="55" t="n">
        <f aca="false">E25+14</f>
        <v>46654</v>
      </c>
      <c r="G25" s="52" t="s">
        <v>157</v>
      </c>
      <c r="H25" s="61" t="n">
        <v>0</v>
      </c>
      <c r="I25" s="52" t="n">
        <f aca="true">IF(E25="","",IF(G25="Done","Done",E25-TODAY()))</f>
        <v>319</v>
      </c>
      <c r="J25" s="61" t="n">
        <f aca="true">IF(OR(D25="",E25=""),"",IF(E25&gt;D25,MAX(0,MIN(1,(TODAY()-D25)/(E25-D25))),IF(TODAY()&gt;=E25,1,0)))</f>
        <v>0</v>
      </c>
      <c r="K25" s="52" t="n">
        <f aca="false">IF(J25="","",ROUND(J25*100-H25*100,0))</f>
        <v>0</v>
      </c>
      <c r="L25" s="62" t="str">
        <f aca="true">IF(OR(D25="",E25=""),"GREY",IF(G25="On hold","GREY",IF(G25="Done","GREEN",IF(E25&lt;TODAY(),"RED",IF(K25&gt;=30,"RED",IF(K25&gt;=15,"AMBER","GREEN"))))))</f>
        <v>GREEN</v>
      </c>
      <c r="M25" s="53" t="s">
        <v>374</v>
      </c>
    </row>
    <row r="26" customFormat="false" ht="30" hidden="false" customHeight="true" outlineLevel="0" collapsed="false">
      <c r="A26" s="52" t="n">
        <v>18</v>
      </c>
      <c r="B26" s="53" t="s">
        <v>375</v>
      </c>
      <c r="C26" s="53" t="s">
        <v>357</v>
      </c>
      <c r="D26" s="55" t="n">
        <f aca="false">EventDate-66</f>
        <v>46636</v>
      </c>
      <c r="E26" s="55" t="n">
        <f aca="false">EventDate-42</f>
        <v>46660</v>
      </c>
      <c r="F26" s="55" t="n">
        <f aca="false">E26+14</f>
        <v>46674</v>
      </c>
      <c r="G26" s="52" t="s">
        <v>157</v>
      </c>
      <c r="H26" s="61" t="n">
        <v>0</v>
      </c>
      <c r="I26" s="52" t="n">
        <f aca="true">IF(E26="","",IF(G26="Done","Done",E26-TODAY()))</f>
        <v>339</v>
      </c>
      <c r="J26" s="61" t="n">
        <f aca="true">IF(OR(D26="",E26=""),"",IF(E26&gt;D26,MAX(0,MIN(1,(TODAY()-D26)/(E26-D26))),IF(TODAY()&gt;=E26,1,0)))</f>
        <v>0</v>
      </c>
      <c r="K26" s="52" t="n">
        <f aca="false">IF(J26="","",ROUND(J26*100-H26*100,0))</f>
        <v>0</v>
      </c>
      <c r="L26" s="62" t="str">
        <f aca="true">IF(OR(D26="",E26=""),"GREY",IF(G26="On hold","GREY",IF(G26="Done","GREEN",IF(E26&lt;TODAY(),"RED",IF(K26&gt;=30,"RED",IF(K26&gt;=15,"AMBER","GREEN"))))))</f>
        <v>GREEN</v>
      </c>
      <c r="M26" s="53" t="s">
        <v>376</v>
      </c>
    </row>
    <row r="27" customFormat="false" ht="30" hidden="false" customHeight="true" outlineLevel="0" collapsed="false">
      <c r="A27" s="52" t="n">
        <v>19</v>
      </c>
      <c r="B27" s="53" t="s">
        <v>377</v>
      </c>
      <c r="C27" s="53" t="s">
        <v>341</v>
      </c>
      <c r="D27" s="55" t="n">
        <f aca="false">EventDate-66</f>
        <v>46636</v>
      </c>
      <c r="E27" s="55" t="n">
        <f aca="false">EventDate-42</f>
        <v>46660</v>
      </c>
      <c r="F27" s="55" t="n">
        <f aca="false">E27+14</f>
        <v>46674</v>
      </c>
      <c r="G27" s="52" t="s">
        <v>157</v>
      </c>
      <c r="H27" s="61" t="n">
        <v>0</v>
      </c>
      <c r="I27" s="52" t="n">
        <f aca="true">IF(E27="","",IF(G27="Done","Done",E27-TODAY()))</f>
        <v>339</v>
      </c>
      <c r="J27" s="61" t="n">
        <f aca="true">IF(OR(D27="",E27=""),"",IF(E27&gt;D27,MAX(0,MIN(1,(TODAY()-D27)/(E27-D27))),IF(TODAY()&gt;=E27,1,0)))</f>
        <v>0</v>
      </c>
      <c r="K27" s="52" t="n">
        <f aca="false">IF(J27="","",ROUND(J27*100-H27*100,0))</f>
        <v>0</v>
      </c>
      <c r="L27" s="62" t="str">
        <f aca="true">IF(OR(D27="",E27=""),"GREY",IF(G27="On hold","GREY",IF(G27="Done","GREEN",IF(E27&lt;TODAY(),"RED",IF(K27&gt;=30,"RED",IF(K27&gt;=15,"AMBER","GREEN"))))))</f>
        <v>GREEN</v>
      </c>
      <c r="M27" s="53" t="s">
        <v>378</v>
      </c>
    </row>
    <row r="28" customFormat="false" ht="30" hidden="false" customHeight="true" outlineLevel="0" collapsed="false">
      <c r="A28" s="52" t="n">
        <v>20</v>
      </c>
      <c r="B28" s="53" t="s">
        <v>379</v>
      </c>
      <c r="C28" s="53" t="s">
        <v>348</v>
      </c>
      <c r="D28" s="55" t="n">
        <f aca="false">EventDate-59</f>
        <v>46643</v>
      </c>
      <c r="E28" s="55" t="n">
        <f aca="false">EventDate-42</f>
        <v>46660</v>
      </c>
      <c r="F28" s="55" t="n">
        <f aca="false">E28+14</f>
        <v>46674</v>
      </c>
      <c r="G28" s="52" t="s">
        <v>157</v>
      </c>
      <c r="H28" s="61" t="n">
        <v>0</v>
      </c>
      <c r="I28" s="52" t="n">
        <f aca="true">IF(E28="","",IF(G28="Done","Done",E28-TODAY()))</f>
        <v>339</v>
      </c>
      <c r="J28" s="61" t="n">
        <f aca="true">IF(OR(D28="",E28=""),"",IF(E28&gt;D28,MAX(0,MIN(1,(TODAY()-D28)/(E28-D28))),IF(TODAY()&gt;=E28,1,0)))</f>
        <v>0</v>
      </c>
      <c r="K28" s="52" t="n">
        <f aca="false">IF(J28="","",ROUND(J28*100-H28*100,0))</f>
        <v>0</v>
      </c>
      <c r="L28" s="62" t="str">
        <f aca="true">IF(OR(D28="",E28=""),"GREY",IF(G28="On hold","GREY",IF(G28="Done","GREEN",IF(E28&lt;TODAY(),"RED",IF(K28&gt;=30,"RED",IF(K28&gt;=15,"AMBER","GREEN"))))))</f>
        <v>GREEN</v>
      </c>
      <c r="M28" s="53" t="s">
        <v>380</v>
      </c>
    </row>
    <row r="29" customFormat="false" ht="30" hidden="false" customHeight="true" outlineLevel="0" collapsed="false">
      <c r="A29" s="52" t="n">
        <v>21</v>
      </c>
      <c r="B29" s="53" t="s">
        <v>381</v>
      </c>
      <c r="C29" s="53" t="s">
        <v>348</v>
      </c>
      <c r="D29" s="55" t="n">
        <f aca="false">EventDate-45</f>
        <v>46657</v>
      </c>
      <c r="E29" s="55" t="n">
        <f aca="false">EventDate-42</f>
        <v>46660</v>
      </c>
      <c r="F29" s="55" t="n">
        <f aca="false">E29+14</f>
        <v>46674</v>
      </c>
      <c r="G29" s="52" t="s">
        <v>157</v>
      </c>
      <c r="H29" s="61" t="n">
        <v>0</v>
      </c>
      <c r="I29" s="52" t="n">
        <f aca="true">IF(E29="","",IF(G29="Done","Done",E29-TODAY()))</f>
        <v>339</v>
      </c>
      <c r="J29" s="61" t="n">
        <f aca="true">IF(OR(D29="",E29=""),"",IF(E29&gt;D29,MAX(0,MIN(1,(TODAY()-D29)/(E29-D29))),IF(TODAY()&gt;=E29,1,0)))</f>
        <v>0</v>
      </c>
      <c r="K29" s="52" t="n">
        <f aca="false">IF(J29="","",ROUND(J29*100-H29*100,0))</f>
        <v>0</v>
      </c>
      <c r="L29" s="62" t="str">
        <f aca="true">IF(OR(D29="",E29=""),"GREY",IF(G29="On hold","GREY",IF(G29="Done","GREEN",IF(E29&lt;TODAY(),"RED",IF(K29&gt;=30,"RED",IF(K29&gt;=15,"AMBER","GREEN"))))))</f>
        <v>GREEN</v>
      </c>
      <c r="M29" s="53" t="s">
        <v>237</v>
      </c>
    </row>
    <row r="30" customFormat="false" ht="18" hidden="false" customHeight="true" outlineLevel="0" collapsed="false">
      <c r="A30" s="63" t="s">
        <v>185</v>
      </c>
      <c r="B30" s="63"/>
      <c r="C30" s="63"/>
      <c r="D30" s="63"/>
      <c r="E30" s="63"/>
      <c r="F30" s="63"/>
      <c r="G30" s="63"/>
      <c r="H30" s="63"/>
      <c r="I30" s="63"/>
      <c r="J30" s="63"/>
      <c r="K30" s="63"/>
      <c r="L30" s="63"/>
      <c r="M30" s="63"/>
    </row>
    <row r="31" customFormat="false" ht="30" hidden="false" customHeight="true" outlineLevel="0" collapsed="false">
      <c r="A31" s="64" t="n">
        <v>22</v>
      </c>
      <c r="B31" s="65" t="s">
        <v>382</v>
      </c>
      <c r="C31" s="65" t="s">
        <v>348</v>
      </c>
      <c r="D31" s="66" t="n">
        <f aca="false">EventDate-24</f>
        <v>46678</v>
      </c>
      <c r="E31" s="66" t="n">
        <f aca="false">EventDate-8</f>
        <v>46694</v>
      </c>
      <c r="F31" s="66" t="n">
        <f aca="false">E31</f>
        <v>46694</v>
      </c>
      <c r="G31" s="64" t="s">
        <v>157</v>
      </c>
      <c r="H31" s="67" t="n">
        <v>0</v>
      </c>
      <c r="I31" s="64" t="n">
        <f aca="true">IF(E31="","",IF(G31="Done","Done",E31-TODAY()))</f>
        <v>373</v>
      </c>
      <c r="J31" s="67" t="n">
        <f aca="true">IF(OR(D31="",E31=""),"",IF(E31&gt;D31,MAX(0,MIN(1,(TODAY()-D31)/(E31-D31))),IF(TODAY()&gt;=E31,1,0)))</f>
        <v>0</v>
      </c>
      <c r="K31" s="64" t="n">
        <f aca="false">IF(J31="","",ROUND(J31*100-H31*100,0))</f>
        <v>0</v>
      </c>
      <c r="L31" s="68" t="str">
        <f aca="true">IF(OR(D31="",E31=""),"GREY",IF(G31="On hold","GREY",IF(G31="Done","GREEN",IF(E31&lt;TODAY(),"RED",IF(K31&gt;=30,"RED",IF(K31&gt;=15,"AMBER","GREEN"))))))</f>
        <v>GREEN</v>
      </c>
      <c r="M31" s="65" t="s">
        <v>383</v>
      </c>
    </row>
    <row r="32" customFormat="false" ht="30" hidden="false" customHeight="true" outlineLevel="0" collapsed="false">
      <c r="A32" s="64" t="n">
        <v>23</v>
      </c>
      <c r="B32" s="65" t="s">
        <v>384</v>
      </c>
      <c r="C32" s="65" t="s">
        <v>341</v>
      </c>
      <c r="D32" s="66" t="n">
        <f aca="false">EventDate-24</f>
        <v>46678</v>
      </c>
      <c r="E32" s="66" t="n">
        <f aca="false">EventDate-1</f>
        <v>46701</v>
      </c>
      <c r="F32" s="66" t="n">
        <f aca="false">E32</f>
        <v>46701</v>
      </c>
      <c r="G32" s="64" t="s">
        <v>157</v>
      </c>
      <c r="H32" s="67" t="n">
        <v>0</v>
      </c>
      <c r="I32" s="64" t="n">
        <f aca="true">IF(E32="","",IF(G32="Done","Done",E32-TODAY()))</f>
        <v>380</v>
      </c>
      <c r="J32" s="67" t="n">
        <f aca="true">IF(OR(D32="",E32=""),"",IF(E32&gt;D32,MAX(0,MIN(1,(TODAY()-D32)/(E32-D32))),IF(TODAY()&gt;=E32,1,0)))</f>
        <v>0</v>
      </c>
      <c r="K32" s="64" t="n">
        <f aca="false">IF(J32="","",ROUND(J32*100-H32*100,0))</f>
        <v>0</v>
      </c>
      <c r="L32" s="68" t="str">
        <f aca="true">IF(OR(D32="",E32=""),"GREY",IF(G32="On hold","GREY",IF(G32="Done","GREEN",IF(E32&lt;TODAY(),"RED",IF(K32&gt;=30,"RED",IF(K32&gt;=15,"AMBER","GREEN"))))))</f>
        <v>GREEN</v>
      </c>
      <c r="M32" s="65" t="s">
        <v>385</v>
      </c>
    </row>
    <row r="33" customFormat="false" ht="18" hidden="false" customHeight="true" outlineLevel="0" collapsed="false">
      <c r="A33" s="60" t="s">
        <v>190</v>
      </c>
      <c r="B33" s="60"/>
      <c r="C33" s="60"/>
      <c r="D33" s="60"/>
      <c r="E33" s="60"/>
      <c r="F33" s="60"/>
      <c r="G33" s="60"/>
      <c r="H33" s="60"/>
      <c r="I33" s="60"/>
      <c r="J33" s="60"/>
      <c r="K33" s="60"/>
      <c r="L33" s="60"/>
      <c r="M33" s="60"/>
    </row>
    <row r="34" customFormat="false" ht="30" hidden="false" customHeight="true" outlineLevel="0" collapsed="false">
      <c r="A34" s="52" t="n">
        <v>24</v>
      </c>
      <c r="B34" s="53" t="s">
        <v>386</v>
      </c>
      <c r="C34" s="53" t="s">
        <v>348</v>
      </c>
      <c r="D34" s="55" t="n">
        <f aca="false">EventDate</f>
        <v>46702</v>
      </c>
      <c r="E34" s="55" t="n">
        <f aca="false">EventDate</f>
        <v>46702</v>
      </c>
      <c r="F34" s="55" t="n">
        <f aca="false">E34</f>
        <v>46702</v>
      </c>
      <c r="G34" s="52" t="s">
        <v>157</v>
      </c>
      <c r="H34" s="61" t="n">
        <v>0</v>
      </c>
      <c r="I34" s="52" t="n">
        <f aca="true">IF(E34="","",IF(G34="Done","Done",E34-TODAY()))</f>
        <v>381</v>
      </c>
      <c r="J34" s="61" t="n">
        <f aca="true">IF(OR(D34="",E34=""),"",IF(E34&gt;D34,MAX(0,MIN(1,(TODAY()-D34)/(E34-D34))),IF(TODAY()&gt;=E34,1,0)))</f>
        <v>0</v>
      </c>
      <c r="K34" s="52" t="n">
        <f aca="false">IF(J34="","",ROUND(J34*100-H34*100,0))</f>
        <v>0</v>
      </c>
      <c r="L34" s="62" t="str">
        <f aca="true">IF(OR(D34="",E34=""),"GREY",IF(G34="On hold","GREY",IF(G34="Done","GREEN",IF(E34&lt;TODAY(),"RED",IF(K34&gt;=30,"RED",IF(K34&gt;=15,"AMBER","GREEN"))))))</f>
        <v>GREEN</v>
      </c>
      <c r="M34" s="53" t="s">
        <v>335</v>
      </c>
    </row>
    <row r="35" customFormat="false" ht="30" hidden="false" customHeight="true" outlineLevel="0" collapsed="false">
      <c r="A35" s="52" t="n">
        <v>25</v>
      </c>
      <c r="B35" s="53" t="s">
        <v>387</v>
      </c>
      <c r="C35" s="53" t="s">
        <v>341</v>
      </c>
      <c r="D35" s="55" t="n">
        <f aca="false">EventDate</f>
        <v>46702</v>
      </c>
      <c r="E35" s="55" t="n">
        <f aca="false">EventDate+7</f>
        <v>46709</v>
      </c>
      <c r="F35" s="55" t="n">
        <f aca="false">E35+14</f>
        <v>46723</v>
      </c>
      <c r="G35" s="52" t="s">
        <v>157</v>
      </c>
      <c r="H35" s="61" t="n">
        <v>0</v>
      </c>
      <c r="I35" s="52" t="n">
        <f aca="true">IF(E35="","",IF(G35="Done","Done",E35-TODAY()))</f>
        <v>388</v>
      </c>
      <c r="J35" s="61" t="n">
        <f aca="true">IF(OR(D35="",E35=""),"",IF(E35&gt;D35,MAX(0,MIN(1,(TODAY()-D35)/(E35-D35))),IF(TODAY()&gt;=E35,1,0)))</f>
        <v>0</v>
      </c>
      <c r="K35" s="52" t="n">
        <f aca="false">IF(J35="","",ROUND(J35*100-H35*100,0))</f>
        <v>0</v>
      </c>
      <c r="L35" s="62" t="str">
        <f aca="true">IF(OR(D35="",E35=""),"GREY",IF(G35="On hold","GREY",IF(G35="Done","GREEN",IF(E35&lt;TODAY(),"RED",IF(K35&gt;=30,"RED",IF(K35&gt;=15,"AMBER","GREEN"))))))</f>
        <v>GREEN</v>
      </c>
      <c r="M35" s="53" t="s">
        <v>388</v>
      </c>
    </row>
    <row r="36" customFormat="false" ht="30" hidden="false" customHeight="true" outlineLevel="0" collapsed="false">
      <c r="A36" s="52" t="n">
        <v>26</v>
      </c>
      <c r="B36" s="53" t="s">
        <v>389</v>
      </c>
      <c r="C36" s="53" t="s">
        <v>357</v>
      </c>
      <c r="D36" s="55" t="n">
        <f aca="false">EventDate+1</f>
        <v>46703</v>
      </c>
      <c r="E36" s="55" t="n">
        <f aca="false">EventDate+15</f>
        <v>46717</v>
      </c>
      <c r="F36" s="55" t="n">
        <f aca="false">E36+14</f>
        <v>46731</v>
      </c>
      <c r="G36" s="52" t="s">
        <v>157</v>
      </c>
      <c r="H36" s="61" t="n">
        <v>0</v>
      </c>
      <c r="I36" s="52" t="n">
        <f aca="true">IF(E36="","",IF(G36="Done","Done",E36-TODAY()))</f>
        <v>396</v>
      </c>
      <c r="J36" s="61" t="n">
        <f aca="true">IF(OR(D36="",E36=""),"",IF(E36&gt;D36,MAX(0,MIN(1,(TODAY()-D36)/(E36-D36))),IF(TODAY()&gt;=E36,1,0)))</f>
        <v>0</v>
      </c>
      <c r="K36" s="52" t="n">
        <f aca="false">IF(J36="","",ROUND(J36*100-H36*100,0))</f>
        <v>0</v>
      </c>
      <c r="L36" s="62" t="str">
        <f aca="true">IF(OR(D36="",E36=""),"GREY",IF(G36="On hold","GREY",IF(G36="Done","GREEN",IF(E36&lt;TODAY(),"RED",IF(K36&gt;=30,"RED",IF(K36&gt;=15,"AMBER","GREEN"))))))</f>
        <v>GREEN</v>
      </c>
      <c r="M36" s="53" t="s">
        <v>273</v>
      </c>
    </row>
    <row r="37" customFormat="false" ht="30" hidden="false" customHeight="true" outlineLevel="0" collapsed="false">
      <c r="A37" s="52" t="n">
        <v>27</v>
      </c>
      <c r="B37" s="53" t="s">
        <v>390</v>
      </c>
      <c r="C37" s="53" t="s">
        <v>352</v>
      </c>
      <c r="D37" s="55" t="n">
        <f aca="false">EventDate+4</f>
        <v>46706</v>
      </c>
      <c r="E37" s="55" t="n">
        <f aca="false">EventDate+36</f>
        <v>46738</v>
      </c>
      <c r="F37" s="55" t="n">
        <f aca="false">E37+14</f>
        <v>46752</v>
      </c>
      <c r="G37" s="52" t="s">
        <v>157</v>
      </c>
      <c r="H37" s="61" t="n">
        <v>0</v>
      </c>
      <c r="I37" s="52" t="n">
        <f aca="true">IF(E37="","",IF(G37="Done","Done",E37-TODAY()))</f>
        <v>417</v>
      </c>
      <c r="J37" s="61" t="n">
        <f aca="true">IF(OR(D37="",E37=""),"",IF(E37&gt;D37,MAX(0,MIN(1,(TODAY()-D37)/(E37-D37))),IF(TODAY()&gt;=E37,1,0)))</f>
        <v>0</v>
      </c>
      <c r="K37" s="52" t="n">
        <f aca="false">IF(J37="","",ROUND(J37*100-H37*100,0))</f>
        <v>0</v>
      </c>
      <c r="L37" s="62" t="str">
        <f aca="true">IF(OR(D37="",E37=""),"GREY",IF(G37="On hold","GREY",IF(G37="Done","GREEN",IF(E37&lt;TODAY(),"RED",IF(K37&gt;=30,"RED",IF(K37&gt;=15,"AMBER","GREEN"))))))</f>
        <v>GREEN</v>
      </c>
      <c r="M37" s="53" t="s">
        <v>273</v>
      </c>
    </row>
  </sheetData>
  <mergeCells count="9">
    <mergeCell ref="A1:M1"/>
    <mergeCell ref="A2:M2"/>
    <mergeCell ref="A3:C3"/>
    <mergeCell ref="A4:M4"/>
    <mergeCell ref="A6:M6"/>
    <mergeCell ref="A15:M15"/>
    <mergeCell ref="A22:M22"/>
    <mergeCell ref="A30:M30"/>
    <mergeCell ref="A33:M33"/>
  </mergeCells>
  <conditionalFormatting sqref="L6:L37">
    <cfRule type="cellIs" priority="2" operator="equal" aboveAverage="0" equalAverage="0" bottom="0" percent="0" rank="0" text="" dxfId="0">
      <formula>"RED"</formula>
    </cfRule>
    <cfRule type="cellIs" priority="3" operator="equal" aboveAverage="0" equalAverage="0" bottom="0" percent="0" rank="0" text="" dxfId="8">
      <formula>"AMBER"</formula>
    </cfRule>
    <cfRule type="cellIs" priority="4" operator="equal" aboveAverage="0" equalAverage="0" bottom="0" percent="0" rank="0" text="" dxfId="9">
      <formula>"GREEN"</formula>
    </cfRule>
    <cfRule type="cellIs" priority="5" operator="equal" aboveAverage="0" equalAverage="0" bottom="0" percent="0" rank="0" text="" dxfId="10">
      <formula>"GREY"</formula>
    </cfRule>
  </conditionalFormatting>
  <conditionalFormatting sqref="G6:G37">
    <cfRule type="cellIs" priority="6" operator="equal" aboveAverage="0" equalAverage="0" bottom="0" percent="0" rank="0" text="" dxfId="3">
      <formula>"Done"</formula>
    </cfRule>
    <cfRule type="cellIs" priority="7" operator="equal" aboveAverage="0" equalAverage="0" bottom="0" percent="0" rank="0" text="" dxfId="11">
      <formula>"In progress"</formula>
    </cfRule>
    <cfRule type="cellIs" priority="8" operator="equal" aboveAverage="0" equalAverage="0" bottom="0" percent="0" rank="0" text="" dxfId="5">
      <formula>"Blocked"</formula>
    </cfRule>
    <cfRule type="cellIs" priority="9" operator="equal" aboveAverage="0" equalAverage="0" bottom="0" percent="0" rank="0" text="" dxfId="12">
      <formula>"On hold"</formula>
    </cfRule>
  </conditionalFormatting>
  <conditionalFormatting sqref="H6:H37">
    <cfRule type="colorScale" priority="10">
      <colorScale>
        <cfvo type="num" val="0"/>
        <cfvo type="num" val="1"/>
        <color rgb="FFFFFFFF"/>
        <color rgb="FFA9D08E"/>
      </colorScale>
    </cfRule>
  </conditionalFormatting>
  <conditionalFormatting sqref="M3">
    <cfRule type="expression" priority="11" aboveAverage="0" equalAverage="0" bottom="0" percent="0" rank="0" text="" dxfId="3">
      <formula>$I$3+$K$3=0</formula>
    </cfRule>
    <cfRule type="expression" priority="12" aboveAverage="0" equalAverage="0" bottom="0" percent="0" rank="0" text="" dxfId="5">
      <formula>$I$3+$K$3&gt;0</formula>
    </cfRule>
  </conditionalFormatting>
  <dataValidations count="2">
    <dataValidation allowBlank="false" errorStyle="stop" operator="between" showDropDown="false" showErrorMessage="false" showInputMessage="false" sqref="G6:G37" type="list">
      <formula1>"Not started,In progress,Done,Blocked,On hold"</formula1>
      <formula2>0</formula2>
    </dataValidation>
    <dataValidation allowBlank="false" error="Enter a value between 0% and 100%." errorStyle="stop" errorTitle="Progress" operator="between" showDropDown="false" showErrorMessage="false" showInputMessage="false" sqref="H6:H37" type="decimal">
      <formula1>0</formula1>
      <formula2>1</formula2>
    </dataValidation>
  </dataValidations>
  <printOptions headings="false" gridLines="false" gridLinesSet="true" horizontalCentered="false" verticalCentered="false"/>
  <pageMargins left="0.4" right="0.4" top="0.5" bottom="0.5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&amp;A  -  page &amp;P of &amp;N  -  PROPOSED date, subject to sponsor approval</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M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22"/>
    <col collapsed="false" customWidth="true" hidden="false" outlineLevel="0" max="4" min="4" style="0" width="12"/>
    <col collapsed="false" customWidth="true" hidden="false" outlineLevel="0" max="5" min="5" style="0" width="13"/>
    <col collapsed="false" customWidth="true" hidden="false" outlineLevel="0" max="7" min="6" style="0" width="12"/>
    <col collapsed="false" customWidth="true" hidden="false" outlineLevel="0" max="8" min="8" style="0" width="10"/>
    <col collapsed="false" customWidth="true" hidden="false" outlineLevel="0" max="10" min="9" style="0" width="8"/>
    <col collapsed="false" customWidth="true" hidden="false" outlineLevel="0" max="12" min="11" style="0" width="9"/>
    <col collapsed="false" customWidth="true" hidden="false" outlineLevel="0" max="13" min="13" style="0" width="62"/>
  </cols>
  <sheetData>
    <row r="1" customFormat="false" ht="27.75" hidden="false" customHeight="true" outlineLevel="0" collapsed="false">
      <c r="A1" s="42" t="s">
        <v>391</v>
      </c>
      <c r="B1" s="42"/>
      <c r="C1" s="42"/>
      <c r="D1" s="42"/>
      <c r="E1" s="42"/>
      <c r="F1" s="42"/>
      <c r="G1" s="42"/>
      <c r="H1" s="42"/>
      <c r="I1" s="42"/>
      <c r="J1" s="42"/>
      <c r="K1" s="42"/>
      <c r="L1" s="42"/>
      <c r="M1" s="42"/>
    </row>
    <row r="2" customFormat="false" ht="19.5" hidden="false" customHeight="true" outlineLevel="0" collapsed="false">
      <c r="A2" s="43" t="s">
        <v>86</v>
      </c>
      <c r="B2" s="43"/>
      <c r="C2" s="43"/>
      <c r="D2" s="43"/>
      <c r="E2" s="43"/>
      <c r="F2" s="43"/>
      <c r="G2" s="43"/>
      <c r="H2" s="43"/>
      <c r="I2" s="43"/>
      <c r="J2" s="43"/>
      <c r="K2" s="43"/>
      <c r="L2" s="43"/>
      <c r="M2" s="43"/>
    </row>
    <row r="3" customFormat="false" ht="19.5" hidden="false" customHeight="true" outlineLevel="0" collapsed="false">
      <c r="A3" s="56" t="s">
        <v>392</v>
      </c>
      <c r="B3" s="56"/>
      <c r="C3" s="56"/>
      <c r="D3" s="57" t="s">
        <v>16</v>
      </c>
      <c r="E3" s="57" t="n">
        <f aca="false">COUNT(A6:A38)</f>
        <v>28</v>
      </c>
      <c r="F3" s="57" t="s">
        <v>17</v>
      </c>
      <c r="G3" s="57" t="n">
        <f aca="false">COUNTIF(G6:G38,"Done")</f>
        <v>0</v>
      </c>
      <c r="H3" s="57" t="s">
        <v>19</v>
      </c>
      <c r="I3" s="57" t="n">
        <f aca="false">COUNTIF(L6:L38,"RED")</f>
        <v>0</v>
      </c>
      <c r="J3" s="57" t="s">
        <v>20</v>
      </c>
      <c r="K3" s="57" t="n">
        <f aca="false">COUNTIF(L6:L38,"AMBER")</f>
        <v>0</v>
      </c>
      <c r="L3" s="57" t="s">
        <v>141</v>
      </c>
      <c r="M3" s="58" t="str">
        <f aca="false" t="array" ref="M3:M3">IF(I3+K3=0,"Nothing behind schedule",_xlfn.TEXTJOIN(", ",TRUE(),IF((L6:L38="RED")+(L6:L38="AMBER"),"#"&amp;A6:A38,"")))</f>
        <v>Nothing behind schedule</v>
      </c>
    </row>
    <row r="4" customFormat="false" ht="25.5" hidden="false" customHeight="true" outlineLevel="0" collapsed="false">
      <c r="A4" s="59" t="s">
        <v>142</v>
      </c>
      <c r="B4" s="59"/>
      <c r="C4" s="59"/>
      <c r="D4" s="59"/>
      <c r="E4" s="59"/>
      <c r="F4" s="59"/>
      <c r="G4" s="59"/>
      <c r="H4" s="59"/>
      <c r="I4" s="59"/>
      <c r="J4" s="59"/>
      <c r="K4" s="59"/>
      <c r="L4" s="59"/>
      <c r="M4" s="59"/>
    </row>
    <row r="5" customFormat="false" ht="31.5" hidden="false" customHeight="true" outlineLevel="0" collapsed="false">
      <c r="A5" s="10" t="s">
        <v>143</v>
      </c>
      <c r="B5" s="10" t="s">
        <v>144</v>
      </c>
      <c r="C5" s="10" t="s">
        <v>145</v>
      </c>
      <c r="D5" s="10" t="s">
        <v>146</v>
      </c>
      <c r="E5" s="10" t="s">
        <v>147</v>
      </c>
      <c r="F5" s="10" t="s">
        <v>148</v>
      </c>
      <c r="G5" s="10" t="s">
        <v>23</v>
      </c>
      <c r="H5" s="10" t="s">
        <v>149</v>
      </c>
      <c r="I5" s="10" t="s">
        <v>150</v>
      </c>
      <c r="J5" s="10" t="s">
        <v>151</v>
      </c>
      <c r="K5" s="10" t="s">
        <v>152</v>
      </c>
      <c r="L5" s="10" t="s">
        <v>153</v>
      </c>
      <c r="M5" s="10" t="s">
        <v>154</v>
      </c>
    </row>
    <row r="6" customFormat="false" ht="18" hidden="false" customHeight="true" outlineLevel="0" collapsed="false">
      <c r="A6" s="60" t="s">
        <v>155</v>
      </c>
      <c r="B6" s="60"/>
      <c r="C6" s="60"/>
      <c r="D6" s="60"/>
      <c r="E6" s="60"/>
      <c r="F6" s="60"/>
      <c r="G6" s="60"/>
      <c r="H6" s="60"/>
      <c r="I6" s="60"/>
      <c r="J6" s="60"/>
      <c r="K6" s="60"/>
      <c r="L6" s="60"/>
      <c r="M6" s="60"/>
    </row>
    <row r="7" customFormat="false" ht="30" hidden="false" customHeight="true" outlineLevel="0" collapsed="false">
      <c r="A7" s="52" t="n">
        <v>1</v>
      </c>
      <c r="B7" s="53" t="s">
        <v>393</v>
      </c>
      <c r="C7" s="53" t="s">
        <v>32</v>
      </c>
      <c r="D7" s="55" t="n">
        <v>46321</v>
      </c>
      <c r="E7" s="55" t="n">
        <v>46324</v>
      </c>
      <c r="F7" s="55" t="n">
        <f aca="false">E7+14</f>
        <v>46338</v>
      </c>
      <c r="G7" s="52" t="s">
        <v>157</v>
      </c>
      <c r="H7" s="61" t="n">
        <v>0</v>
      </c>
      <c r="I7" s="52" t="n">
        <f aca="true">IF(E7="","",IF(G7="Done","Done",E7-TODAY()))</f>
        <v>3</v>
      </c>
      <c r="J7" s="61" t="n">
        <f aca="true">IF(OR(D7="",E7=""),"",IF(E7&gt;D7,MAX(0,MIN(1,(TODAY()-D7)/(E7-D7))),IF(TODAY()&gt;=E7,1,0)))</f>
        <v>0</v>
      </c>
      <c r="K7" s="52" t="n">
        <f aca="false">IF(J7="","",ROUND(J7*100-H7*100,0))</f>
        <v>0</v>
      </c>
      <c r="L7" s="62" t="str">
        <f aca="true">IF(OR(D7="",E7=""),"GREY",IF(G7="On hold","GREY",IF(G7="Done","GREEN",IF(E7&lt;TODAY(),"RED",IF(K7&gt;=30,"RED",IF(K7&gt;=15,"AMBER","GREEN"))))))</f>
        <v>GREEN</v>
      </c>
      <c r="M7" s="53" t="s">
        <v>394</v>
      </c>
    </row>
    <row r="8" customFormat="false" ht="43.5" hidden="false" customHeight="true" outlineLevel="0" collapsed="false">
      <c r="A8" s="52" t="n">
        <v>2</v>
      </c>
      <c r="B8" s="53" t="s">
        <v>395</v>
      </c>
      <c r="C8" s="53" t="s">
        <v>396</v>
      </c>
      <c r="D8" s="55" t="n">
        <v>46324</v>
      </c>
      <c r="E8" s="55" t="n">
        <v>46353</v>
      </c>
      <c r="F8" s="55" t="n">
        <f aca="false">E8+14</f>
        <v>46367</v>
      </c>
      <c r="G8" s="52" t="s">
        <v>157</v>
      </c>
      <c r="H8" s="61" t="n">
        <v>0</v>
      </c>
      <c r="I8" s="52" t="n">
        <f aca="true">IF(E8="","",IF(G8="Done","Done",E8-TODAY()))</f>
        <v>32</v>
      </c>
      <c r="J8" s="61" t="n">
        <f aca="true">IF(OR(D8="",E8=""),"",IF(E8&gt;D8,MAX(0,MIN(1,(TODAY()-D8)/(E8-D8))),IF(TODAY()&gt;=E8,1,0)))</f>
        <v>0</v>
      </c>
      <c r="K8" s="52" t="n">
        <f aca="false">IF(J8="","",ROUND(J8*100-H8*100,0))</f>
        <v>0</v>
      </c>
      <c r="L8" s="62" t="str">
        <f aca="true">IF(OR(D8="",E8=""),"GREY",IF(G8="On hold","GREY",IF(G8="Done","GREEN",IF(E8&lt;TODAY(),"RED",IF(K8&gt;=30,"RED",IF(K8&gt;=15,"AMBER","GREEN"))))))</f>
        <v>GREEN</v>
      </c>
      <c r="M8" s="53" t="s">
        <v>397</v>
      </c>
    </row>
    <row r="9" customFormat="false" ht="30" hidden="false" customHeight="true" outlineLevel="0" collapsed="false">
      <c r="A9" s="52" t="n">
        <v>3</v>
      </c>
      <c r="B9" s="53" t="s">
        <v>398</v>
      </c>
      <c r="C9" s="53" t="s">
        <v>396</v>
      </c>
      <c r="D9" s="55" t="n">
        <v>46324</v>
      </c>
      <c r="E9" s="55" t="n">
        <v>46353</v>
      </c>
      <c r="F9" s="55" t="n">
        <f aca="false">E9+14</f>
        <v>46367</v>
      </c>
      <c r="G9" s="52" t="s">
        <v>157</v>
      </c>
      <c r="H9" s="61" t="n">
        <v>0</v>
      </c>
      <c r="I9" s="52" t="n">
        <f aca="true">IF(E9="","",IF(G9="Done","Done",E9-TODAY()))</f>
        <v>32</v>
      </c>
      <c r="J9" s="61" t="n">
        <f aca="true">IF(OR(D9="",E9=""),"",IF(E9&gt;D9,MAX(0,MIN(1,(TODAY()-D9)/(E9-D9))),IF(TODAY()&gt;=E9,1,0)))</f>
        <v>0</v>
      </c>
      <c r="K9" s="52" t="n">
        <f aca="false">IF(J9="","",ROUND(J9*100-H9*100,0))</f>
        <v>0</v>
      </c>
      <c r="L9" s="62" t="str">
        <f aca="true">IF(OR(D9="",E9=""),"GREY",IF(G9="On hold","GREY",IF(G9="Done","GREEN",IF(E9&lt;TODAY(),"RED",IF(K9&gt;=30,"RED",IF(K9&gt;=15,"AMBER","GREEN"))))))</f>
        <v>GREEN</v>
      </c>
      <c r="M9" s="53" t="s">
        <v>399</v>
      </c>
    </row>
    <row r="10" customFormat="false" ht="30" hidden="false" customHeight="true" outlineLevel="0" collapsed="false">
      <c r="A10" s="52" t="n">
        <v>4</v>
      </c>
      <c r="B10" s="53" t="s">
        <v>400</v>
      </c>
      <c r="C10" s="53" t="s">
        <v>396</v>
      </c>
      <c r="D10" s="55" t="n">
        <v>46328</v>
      </c>
      <c r="E10" s="55" t="n">
        <v>46353</v>
      </c>
      <c r="F10" s="55" t="n">
        <f aca="false">E10+14</f>
        <v>46367</v>
      </c>
      <c r="G10" s="52" t="s">
        <v>157</v>
      </c>
      <c r="H10" s="61" t="n">
        <v>0</v>
      </c>
      <c r="I10" s="52" t="n">
        <f aca="true">IF(E10="","",IF(G10="Done","Done",E10-TODAY()))</f>
        <v>32</v>
      </c>
      <c r="J10" s="61" t="n">
        <f aca="true">IF(OR(D10="",E10=""),"",IF(E10&gt;D10,MAX(0,MIN(1,(TODAY()-D10)/(E10-D10))),IF(TODAY()&gt;=E10,1,0)))</f>
        <v>0</v>
      </c>
      <c r="K10" s="52" t="n">
        <f aca="false">IF(J10="","",ROUND(J10*100-H10*100,0))</f>
        <v>0</v>
      </c>
      <c r="L10" s="62" t="str">
        <f aca="true">IF(OR(D10="",E10=""),"GREY",IF(G10="On hold","GREY",IF(G10="Done","GREEN",IF(E10&lt;TODAY(),"RED",IF(K10&gt;=30,"RED",IF(K10&gt;=15,"AMBER","GREEN"))))))</f>
        <v>GREEN</v>
      </c>
      <c r="M10" s="53" t="s">
        <v>401</v>
      </c>
    </row>
    <row r="11" customFormat="false" ht="30" hidden="false" customHeight="true" outlineLevel="0" collapsed="false">
      <c r="A11" s="52" t="n">
        <v>5</v>
      </c>
      <c r="B11" s="53" t="s">
        <v>402</v>
      </c>
      <c r="C11" s="53" t="s">
        <v>396</v>
      </c>
      <c r="D11" s="55" t="n">
        <v>46328</v>
      </c>
      <c r="E11" s="55" t="n">
        <v>46353</v>
      </c>
      <c r="F11" s="55" t="n">
        <f aca="false">E11+14</f>
        <v>46367</v>
      </c>
      <c r="G11" s="52" t="s">
        <v>157</v>
      </c>
      <c r="H11" s="61" t="n">
        <v>0</v>
      </c>
      <c r="I11" s="52" t="n">
        <f aca="true">IF(E11="","",IF(G11="Done","Done",E11-TODAY()))</f>
        <v>32</v>
      </c>
      <c r="J11" s="61" t="n">
        <f aca="true">IF(OR(D11="",E11=""),"",IF(E11&gt;D11,MAX(0,MIN(1,(TODAY()-D11)/(E11-D11))),IF(TODAY()&gt;=E11,1,0)))</f>
        <v>0</v>
      </c>
      <c r="K11" s="52" t="n">
        <f aca="false">IF(J11="","",ROUND(J11*100-H11*100,0))</f>
        <v>0</v>
      </c>
      <c r="L11" s="62" t="str">
        <f aca="true">IF(OR(D11="",E11=""),"GREY",IF(G11="On hold","GREY",IF(G11="Done","GREEN",IF(E11&lt;TODAY(),"RED",IF(K11&gt;=30,"RED",IF(K11&gt;=15,"AMBER","GREEN"))))))</f>
        <v>GREEN</v>
      </c>
      <c r="M11" s="53" t="s">
        <v>403</v>
      </c>
    </row>
    <row r="12" customFormat="false" ht="30" hidden="false" customHeight="true" outlineLevel="0" collapsed="false">
      <c r="A12" s="52" t="n">
        <v>6</v>
      </c>
      <c r="B12" s="53" t="s">
        <v>404</v>
      </c>
      <c r="C12" s="53" t="s">
        <v>396</v>
      </c>
      <c r="D12" s="55" t="n">
        <v>46356</v>
      </c>
      <c r="E12" s="55" t="n">
        <v>46374</v>
      </c>
      <c r="F12" s="55" t="n">
        <f aca="false">E12+14</f>
        <v>46388</v>
      </c>
      <c r="G12" s="52" t="s">
        <v>157</v>
      </c>
      <c r="H12" s="61" t="n">
        <v>0</v>
      </c>
      <c r="I12" s="52" t="n">
        <f aca="true">IF(E12="","",IF(G12="Done","Done",E12-TODAY()))</f>
        <v>53</v>
      </c>
      <c r="J12" s="61" t="n">
        <f aca="true">IF(OR(D12="",E12=""),"",IF(E12&gt;D12,MAX(0,MIN(1,(TODAY()-D12)/(E12-D12))),IF(TODAY()&gt;=E12,1,0)))</f>
        <v>0</v>
      </c>
      <c r="K12" s="52" t="n">
        <f aca="false">IF(J12="","",ROUND(J12*100-H12*100,0))</f>
        <v>0</v>
      </c>
      <c r="L12" s="62" t="str">
        <f aca="true">IF(OR(D12="",E12=""),"GREY",IF(G12="On hold","GREY",IF(G12="Done","GREEN",IF(E12&lt;TODAY(),"RED",IF(K12&gt;=30,"RED",IF(K12&gt;=15,"AMBER","GREEN"))))))</f>
        <v>GREEN</v>
      </c>
      <c r="M12" s="53" t="s">
        <v>405</v>
      </c>
    </row>
    <row r="13" customFormat="false" ht="30" hidden="false" customHeight="true" outlineLevel="0" collapsed="false">
      <c r="A13" s="52" t="n">
        <v>7</v>
      </c>
      <c r="B13" s="53" t="s">
        <v>406</v>
      </c>
      <c r="C13" s="53" t="s">
        <v>396</v>
      </c>
      <c r="D13" s="55" t="n">
        <v>46356</v>
      </c>
      <c r="E13" s="55" t="n">
        <v>46384</v>
      </c>
      <c r="F13" s="55" t="n">
        <f aca="false">E13+14</f>
        <v>46398</v>
      </c>
      <c r="G13" s="52" t="s">
        <v>157</v>
      </c>
      <c r="H13" s="61" t="n">
        <v>0</v>
      </c>
      <c r="I13" s="52" t="n">
        <f aca="true">IF(E13="","",IF(G13="Done","Done",E13-TODAY()))</f>
        <v>63</v>
      </c>
      <c r="J13" s="61" t="n">
        <f aca="true">IF(OR(D13="",E13=""),"",IF(E13&gt;D13,MAX(0,MIN(1,(TODAY()-D13)/(E13-D13))),IF(TODAY()&gt;=E13,1,0)))</f>
        <v>0</v>
      </c>
      <c r="K13" s="52" t="n">
        <f aca="false">IF(J13="","",ROUND(J13*100-H13*100,0))</f>
        <v>0</v>
      </c>
      <c r="L13" s="62" t="str">
        <f aca="true">IF(OR(D13="",E13=""),"GREY",IF(G13="On hold","GREY",IF(G13="Done","GREEN",IF(E13&lt;TODAY(),"RED",IF(K13&gt;=30,"RED",IF(K13&gt;=15,"AMBER","GREEN"))))))</f>
        <v>GREEN</v>
      </c>
      <c r="M13" s="53" t="s">
        <v>407</v>
      </c>
    </row>
    <row r="14" customFormat="false" ht="30" hidden="false" customHeight="true" outlineLevel="0" collapsed="false">
      <c r="A14" s="52" t="n">
        <v>8</v>
      </c>
      <c r="B14" s="53" t="s">
        <v>408</v>
      </c>
      <c r="C14" s="53" t="s">
        <v>396</v>
      </c>
      <c r="D14" s="55" t="n">
        <v>46357</v>
      </c>
      <c r="E14" s="55" t="n">
        <v>46384</v>
      </c>
      <c r="F14" s="55" t="n">
        <f aca="false">E14+14</f>
        <v>46398</v>
      </c>
      <c r="G14" s="52" t="s">
        <v>157</v>
      </c>
      <c r="H14" s="61" t="n">
        <v>0</v>
      </c>
      <c r="I14" s="52" t="n">
        <f aca="true">IF(E14="","",IF(G14="Done","Done",E14-TODAY()))</f>
        <v>63</v>
      </c>
      <c r="J14" s="61" t="n">
        <f aca="true">IF(OR(D14="",E14=""),"",IF(E14&gt;D14,MAX(0,MIN(1,(TODAY()-D14)/(E14-D14))),IF(TODAY()&gt;=E14,1,0)))</f>
        <v>0</v>
      </c>
      <c r="K14" s="52" t="n">
        <f aca="false">IF(J14="","",ROUND(J14*100-H14*100,0))</f>
        <v>0</v>
      </c>
      <c r="L14" s="62" t="str">
        <f aca="true">IF(OR(D14="",E14=""),"GREY",IF(G14="On hold","GREY",IF(G14="Done","GREEN",IF(E14&lt;TODAY(),"RED",IF(K14&gt;=30,"RED",IF(K14&gt;=15,"AMBER","GREEN"))))))</f>
        <v>GREEN</v>
      </c>
      <c r="M14" s="53" t="s">
        <v>409</v>
      </c>
    </row>
    <row r="15" customFormat="false" ht="30" hidden="false" customHeight="true" outlineLevel="0" collapsed="false">
      <c r="A15" s="52" t="n">
        <v>9</v>
      </c>
      <c r="B15" s="53" t="s">
        <v>410</v>
      </c>
      <c r="C15" s="53" t="s">
        <v>396</v>
      </c>
      <c r="D15" s="55" t="n">
        <v>46357</v>
      </c>
      <c r="E15" s="55" t="n">
        <v>46395</v>
      </c>
      <c r="F15" s="55" t="n">
        <f aca="false">E15+14</f>
        <v>46409</v>
      </c>
      <c r="G15" s="52" t="s">
        <v>157</v>
      </c>
      <c r="H15" s="61" t="n">
        <v>0</v>
      </c>
      <c r="I15" s="52" t="n">
        <f aca="true">IF(E15="","",IF(G15="Done","Done",E15-TODAY()))</f>
        <v>74</v>
      </c>
      <c r="J15" s="61" t="n">
        <f aca="true">IF(OR(D15="",E15=""),"",IF(E15&gt;D15,MAX(0,MIN(1,(TODAY()-D15)/(E15-D15))),IF(TODAY()&gt;=E15,1,0)))</f>
        <v>0</v>
      </c>
      <c r="K15" s="52" t="n">
        <f aca="false">IF(J15="","",ROUND(J15*100-H15*100,0))</f>
        <v>0</v>
      </c>
      <c r="L15" s="62" t="str">
        <f aca="true">IF(OR(D15="",E15=""),"GREY",IF(G15="On hold","GREY",IF(G15="Done","GREEN",IF(E15&lt;TODAY(),"RED",IF(K15&gt;=30,"RED",IF(K15&gt;=15,"AMBER","GREEN"))))))</f>
        <v>GREEN</v>
      </c>
      <c r="M15" s="53" t="s">
        <v>411</v>
      </c>
    </row>
    <row r="16" customFormat="false" ht="43.5" hidden="false" customHeight="true" outlineLevel="0" collapsed="false">
      <c r="A16" s="52" t="n">
        <v>10</v>
      </c>
      <c r="B16" s="53" t="s">
        <v>412</v>
      </c>
      <c r="C16" s="53" t="s">
        <v>396</v>
      </c>
      <c r="D16" s="55" t="n">
        <v>46357</v>
      </c>
      <c r="E16" s="55" t="n">
        <v>46416</v>
      </c>
      <c r="F16" s="55" t="n">
        <f aca="false">E16+14</f>
        <v>46430</v>
      </c>
      <c r="G16" s="52" t="s">
        <v>157</v>
      </c>
      <c r="H16" s="61" t="n">
        <v>0</v>
      </c>
      <c r="I16" s="52" t="n">
        <f aca="true">IF(E16="","",IF(G16="Done","Done",E16-TODAY()))</f>
        <v>95</v>
      </c>
      <c r="J16" s="61" t="n">
        <f aca="true">IF(OR(D16="",E16=""),"",IF(E16&gt;D16,MAX(0,MIN(1,(TODAY()-D16)/(E16-D16))),IF(TODAY()&gt;=E16,1,0)))</f>
        <v>0</v>
      </c>
      <c r="K16" s="52" t="n">
        <f aca="false">IF(J16="","",ROUND(J16*100-H16*100,0))</f>
        <v>0</v>
      </c>
      <c r="L16" s="62" t="str">
        <f aca="true">IF(OR(D16="",E16=""),"GREY",IF(G16="On hold","GREY",IF(G16="Done","GREEN",IF(E16&lt;TODAY(),"RED",IF(K16&gt;=30,"RED",IF(K16&gt;=15,"AMBER","GREEN"))))))</f>
        <v>GREEN</v>
      </c>
      <c r="M16" s="53" t="s">
        <v>413</v>
      </c>
    </row>
    <row r="17" customFormat="false" ht="30" hidden="false" customHeight="true" outlineLevel="0" collapsed="false">
      <c r="A17" s="52" t="n">
        <v>11</v>
      </c>
      <c r="B17" s="53" t="s">
        <v>414</v>
      </c>
      <c r="C17" s="53" t="s">
        <v>396</v>
      </c>
      <c r="D17" s="55" t="n">
        <v>46385</v>
      </c>
      <c r="E17" s="55" t="n">
        <v>46399</v>
      </c>
      <c r="F17" s="55" t="n">
        <f aca="false">E17+14</f>
        <v>46413</v>
      </c>
      <c r="G17" s="52" t="s">
        <v>157</v>
      </c>
      <c r="H17" s="61" t="n">
        <v>0</v>
      </c>
      <c r="I17" s="52" t="n">
        <f aca="true">IF(E17="","",IF(G17="Done","Done",E17-TODAY()))</f>
        <v>78</v>
      </c>
      <c r="J17" s="61" t="n">
        <f aca="true">IF(OR(D17="",E17=""),"",IF(E17&gt;D17,MAX(0,MIN(1,(TODAY()-D17)/(E17-D17))),IF(TODAY()&gt;=E17,1,0)))</f>
        <v>0</v>
      </c>
      <c r="K17" s="52" t="n">
        <f aca="false">IF(J17="","",ROUND(J17*100-H17*100,0))</f>
        <v>0</v>
      </c>
      <c r="L17" s="62" t="str">
        <f aca="true">IF(OR(D17="",E17=""),"GREY",IF(G17="On hold","GREY",IF(G17="Done","GREEN",IF(E17&lt;TODAY(),"RED",IF(K17&gt;=30,"RED",IF(K17&gt;=15,"AMBER","GREEN"))))))</f>
        <v>GREEN</v>
      </c>
      <c r="M17" s="53" t="s">
        <v>415</v>
      </c>
    </row>
    <row r="18" customFormat="false" ht="30" hidden="false" customHeight="true" outlineLevel="0" collapsed="false">
      <c r="A18" s="52" t="n">
        <v>12</v>
      </c>
      <c r="B18" s="53" t="s">
        <v>416</v>
      </c>
      <c r="C18" s="53" t="s">
        <v>396</v>
      </c>
      <c r="D18" s="55" t="n">
        <v>46385</v>
      </c>
      <c r="E18" s="55" t="n">
        <f aca="false">EventDate-134</f>
        <v>46568</v>
      </c>
      <c r="F18" s="55" t="n">
        <f aca="false">E18+14</f>
        <v>46582</v>
      </c>
      <c r="G18" s="52" t="s">
        <v>157</v>
      </c>
      <c r="H18" s="61" t="n">
        <v>0</v>
      </c>
      <c r="I18" s="52" t="n">
        <f aca="true">IF(E18="","",IF(G18="Done","Done",E18-TODAY()))</f>
        <v>247</v>
      </c>
      <c r="J18" s="61" t="n">
        <f aca="true">IF(OR(D18="",E18=""),"",IF(E18&gt;D18,MAX(0,MIN(1,(TODAY()-D18)/(E18-D18))),IF(TODAY()&gt;=E18,1,0)))</f>
        <v>0</v>
      </c>
      <c r="K18" s="52" t="n">
        <f aca="false">IF(J18="","",ROUND(J18*100-H18*100,0))</f>
        <v>0</v>
      </c>
      <c r="L18" s="62" t="str">
        <f aca="true">IF(OR(D18="",E18=""),"GREY",IF(G18="On hold","GREY",IF(G18="Done","GREEN",IF(E18&lt;TODAY(),"RED",IF(K18&gt;=30,"RED",IF(K18&gt;=15,"AMBER","GREEN"))))))</f>
        <v>GREEN</v>
      </c>
      <c r="M18" s="53" t="s">
        <v>417</v>
      </c>
    </row>
    <row r="19" customFormat="false" ht="18" hidden="false" customHeight="true" outlineLevel="0" collapsed="false">
      <c r="A19" s="60" t="s">
        <v>171</v>
      </c>
      <c r="B19" s="60"/>
      <c r="C19" s="60"/>
      <c r="D19" s="60"/>
      <c r="E19" s="60"/>
      <c r="F19" s="60"/>
      <c r="G19" s="60"/>
      <c r="H19" s="60"/>
      <c r="I19" s="60"/>
      <c r="J19" s="60"/>
      <c r="K19" s="60"/>
      <c r="L19" s="60"/>
      <c r="M19" s="60"/>
    </row>
    <row r="20" customFormat="false" ht="30" hidden="false" customHeight="true" outlineLevel="0" collapsed="false">
      <c r="A20" s="52" t="n">
        <v>13</v>
      </c>
      <c r="B20" s="53" t="s">
        <v>418</v>
      </c>
      <c r="C20" s="53" t="s">
        <v>396</v>
      </c>
      <c r="D20" s="55" t="n">
        <v>46391</v>
      </c>
      <c r="E20" s="55" t="n">
        <v>46458</v>
      </c>
      <c r="F20" s="55" t="n">
        <f aca="false">E20+14</f>
        <v>46472</v>
      </c>
      <c r="G20" s="52" t="s">
        <v>157</v>
      </c>
      <c r="H20" s="61" t="n">
        <v>0</v>
      </c>
      <c r="I20" s="52" t="n">
        <f aca="true">IF(E20="","",IF(G20="Done","Done",E20-TODAY()))</f>
        <v>137</v>
      </c>
      <c r="J20" s="61" t="n">
        <f aca="true">IF(OR(D20="",E20=""),"",IF(E20&gt;D20,MAX(0,MIN(1,(TODAY()-D20)/(E20-D20))),IF(TODAY()&gt;=E20,1,0)))</f>
        <v>0</v>
      </c>
      <c r="K20" s="52" t="n">
        <f aca="false">IF(J20="","",ROUND(J20*100-H20*100,0))</f>
        <v>0</v>
      </c>
      <c r="L20" s="62" t="str">
        <f aca="true">IF(OR(D20="",E20=""),"GREY",IF(G20="On hold","GREY",IF(G20="Done","GREEN",IF(E20&lt;TODAY(),"RED",IF(K20&gt;=30,"RED",IF(K20&gt;=15,"AMBER","GREEN"))))))</f>
        <v>GREEN</v>
      </c>
      <c r="M20" s="53" t="s">
        <v>419</v>
      </c>
    </row>
    <row r="21" customFormat="false" ht="30" hidden="false" customHeight="true" outlineLevel="0" collapsed="false">
      <c r="A21" s="52" t="n">
        <v>14</v>
      </c>
      <c r="B21" s="53" t="s">
        <v>420</v>
      </c>
      <c r="C21" s="53" t="s">
        <v>396</v>
      </c>
      <c r="D21" s="55" t="n">
        <v>46391</v>
      </c>
      <c r="E21" s="55" t="n">
        <v>46472</v>
      </c>
      <c r="F21" s="55" t="n">
        <f aca="false">E21+14</f>
        <v>46486</v>
      </c>
      <c r="G21" s="52" t="s">
        <v>157</v>
      </c>
      <c r="H21" s="61" t="n">
        <v>0</v>
      </c>
      <c r="I21" s="52" t="n">
        <f aca="true">IF(E21="","",IF(G21="Done","Done",E21-TODAY()))</f>
        <v>151</v>
      </c>
      <c r="J21" s="61" t="n">
        <f aca="true">IF(OR(D21="",E21=""),"",IF(E21&gt;D21,MAX(0,MIN(1,(TODAY()-D21)/(E21-D21))),IF(TODAY()&gt;=E21,1,0)))</f>
        <v>0</v>
      </c>
      <c r="K21" s="52" t="n">
        <f aca="false">IF(J21="","",ROUND(J21*100-H21*100,0))</f>
        <v>0</v>
      </c>
      <c r="L21" s="62" t="str">
        <f aca="true">IF(OR(D21="",E21=""),"GREY",IF(G21="On hold","GREY",IF(G21="Done","GREEN",IF(E21&lt;TODAY(),"RED",IF(K21&gt;=30,"RED",IF(K21&gt;=15,"AMBER","GREEN"))))))</f>
        <v>GREEN</v>
      </c>
      <c r="M21" s="53" t="s">
        <v>273</v>
      </c>
    </row>
    <row r="22" customFormat="false" ht="30" hidden="false" customHeight="true" outlineLevel="0" collapsed="false">
      <c r="A22" s="52" t="n">
        <v>15</v>
      </c>
      <c r="B22" s="53" t="s">
        <v>421</v>
      </c>
      <c r="C22" s="53" t="s">
        <v>396</v>
      </c>
      <c r="D22" s="55" t="n">
        <v>46398</v>
      </c>
      <c r="E22" s="55" t="n">
        <v>46477</v>
      </c>
      <c r="F22" s="55" t="n">
        <f aca="false">E22+14</f>
        <v>46491</v>
      </c>
      <c r="G22" s="52" t="s">
        <v>157</v>
      </c>
      <c r="H22" s="61" t="n">
        <v>0</v>
      </c>
      <c r="I22" s="52" t="n">
        <f aca="true">IF(E22="","",IF(G22="Done","Done",E22-TODAY()))</f>
        <v>156</v>
      </c>
      <c r="J22" s="61" t="n">
        <f aca="true">IF(OR(D22="",E22=""),"",IF(E22&gt;D22,MAX(0,MIN(1,(TODAY()-D22)/(E22-D22))),IF(TODAY()&gt;=E22,1,0)))</f>
        <v>0</v>
      </c>
      <c r="K22" s="52" t="n">
        <f aca="false">IF(J22="","",ROUND(J22*100-H22*100,0))</f>
        <v>0</v>
      </c>
      <c r="L22" s="62" t="str">
        <f aca="true">IF(OR(D22="",E22=""),"GREY",IF(G22="On hold","GREY",IF(G22="Done","GREEN",IF(E22&lt;TODAY(),"RED",IF(K22&gt;=30,"RED",IF(K22&gt;=15,"AMBER","GREEN"))))))</f>
        <v>GREEN</v>
      </c>
      <c r="M22" s="53" t="s">
        <v>269</v>
      </c>
    </row>
    <row r="23" customFormat="false" ht="43.5" hidden="false" customHeight="true" outlineLevel="0" collapsed="false">
      <c r="A23" s="52" t="n">
        <v>16</v>
      </c>
      <c r="B23" s="53" t="s">
        <v>422</v>
      </c>
      <c r="C23" s="53" t="s">
        <v>423</v>
      </c>
      <c r="D23" s="55" t="n">
        <v>46419</v>
      </c>
      <c r="E23" s="55" t="n">
        <f aca="false">EventDate-146</f>
        <v>46556</v>
      </c>
      <c r="F23" s="55" t="n">
        <f aca="false">E23+14</f>
        <v>46570</v>
      </c>
      <c r="G23" s="52" t="s">
        <v>157</v>
      </c>
      <c r="H23" s="61" t="n">
        <v>0</v>
      </c>
      <c r="I23" s="52" t="n">
        <f aca="true">IF(E23="","",IF(G23="Done","Done",E23-TODAY()))</f>
        <v>235</v>
      </c>
      <c r="J23" s="61" t="n">
        <f aca="true">IF(OR(D23="",E23=""),"",IF(E23&gt;D23,MAX(0,MIN(1,(TODAY()-D23)/(E23-D23))),IF(TODAY()&gt;=E23,1,0)))</f>
        <v>0</v>
      </c>
      <c r="K23" s="52" t="n">
        <f aca="false">IF(J23="","",ROUND(J23*100-H23*100,0))</f>
        <v>0</v>
      </c>
      <c r="L23" s="62" t="str">
        <f aca="true">IF(OR(D23="",E23=""),"GREY",IF(G23="On hold","GREY",IF(G23="Done","GREEN",IF(E23&lt;TODAY(),"RED",IF(K23&gt;=30,"RED",IF(K23&gt;=15,"AMBER","GREEN"))))))</f>
        <v>GREEN</v>
      </c>
      <c r="M23" s="53" t="s">
        <v>424</v>
      </c>
    </row>
    <row r="24" customFormat="false" ht="30" hidden="false" customHeight="true" outlineLevel="0" collapsed="false">
      <c r="A24" s="52" t="n">
        <v>17</v>
      </c>
      <c r="B24" s="53" t="s">
        <v>425</v>
      </c>
      <c r="C24" s="53" t="s">
        <v>396</v>
      </c>
      <c r="D24" s="55" t="n">
        <v>46447</v>
      </c>
      <c r="E24" s="55" t="n">
        <f aca="false">EventDate-134</f>
        <v>46568</v>
      </c>
      <c r="F24" s="55" t="n">
        <f aca="false">E24+14</f>
        <v>46582</v>
      </c>
      <c r="G24" s="52" t="s">
        <v>157</v>
      </c>
      <c r="H24" s="61" t="n">
        <v>0</v>
      </c>
      <c r="I24" s="52" t="n">
        <f aca="true">IF(E24="","",IF(G24="Done","Done",E24-TODAY()))</f>
        <v>247</v>
      </c>
      <c r="J24" s="61" t="n">
        <f aca="true">IF(OR(D24="",E24=""),"",IF(E24&gt;D24,MAX(0,MIN(1,(TODAY()-D24)/(E24-D24))),IF(TODAY()&gt;=E24,1,0)))</f>
        <v>0</v>
      </c>
      <c r="K24" s="52" t="n">
        <f aca="false">IF(J24="","",ROUND(J24*100-H24*100,0))</f>
        <v>0</v>
      </c>
      <c r="L24" s="62" t="str">
        <f aca="true">IF(OR(D24="",E24=""),"GREY",IF(G24="On hold","GREY",IF(G24="Done","GREEN",IF(E24&lt;TODAY(),"RED",IF(K24&gt;=30,"RED",IF(K24&gt;=15,"AMBER","GREEN"))))))</f>
        <v>GREEN</v>
      </c>
      <c r="M24" s="53" t="s">
        <v>426</v>
      </c>
    </row>
    <row r="25" customFormat="false" ht="30" hidden="false" customHeight="true" outlineLevel="0" collapsed="false">
      <c r="A25" s="52" t="n">
        <v>18</v>
      </c>
      <c r="B25" s="53" t="s">
        <v>427</v>
      </c>
      <c r="C25" s="53" t="s">
        <v>396</v>
      </c>
      <c r="D25" s="55" t="n">
        <f aca="false">EventDate-224</f>
        <v>46478</v>
      </c>
      <c r="E25" s="55" t="n">
        <f aca="false">EventDate-134</f>
        <v>46568</v>
      </c>
      <c r="F25" s="55" t="n">
        <f aca="false">E25+14</f>
        <v>46582</v>
      </c>
      <c r="G25" s="52" t="s">
        <v>157</v>
      </c>
      <c r="H25" s="61" t="n">
        <v>0</v>
      </c>
      <c r="I25" s="52" t="n">
        <f aca="true">IF(E25="","",IF(G25="Done","Done",E25-TODAY()))</f>
        <v>247</v>
      </c>
      <c r="J25" s="61" t="n">
        <f aca="true">IF(OR(D25="",E25=""),"",IF(E25&gt;D25,MAX(0,MIN(1,(TODAY()-D25)/(E25-D25))),IF(TODAY()&gt;=E25,1,0)))</f>
        <v>0</v>
      </c>
      <c r="K25" s="52" t="n">
        <f aca="false">IF(J25="","",ROUND(J25*100-H25*100,0))</f>
        <v>0</v>
      </c>
      <c r="L25" s="62" t="str">
        <f aca="true">IF(OR(D25="",E25=""),"GREY",IF(G25="On hold","GREY",IF(G25="Done","GREEN",IF(E25&lt;TODAY(),"RED",IF(K25&gt;=30,"RED",IF(K25&gt;=15,"AMBER","GREEN"))))))</f>
        <v>GREEN</v>
      </c>
      <c r="M25" s="53" t="s">
        <v>428</v>
      </c>
    </row>
    <row r="26" customFormat="false" ht="30" hidden="false" customHeight="true" outlineLevel="0" collapsed="false">
      <c r="A26" s="52" t="n">
        <v>19</v>
      </c>
      <c r="B26" s="53" t="s">
        <v>429</v>
      </c>
      <c r="C26" s="53" t="s">
        <v>396</v>
      </c>
      <c r="D26" s="55" t="n">
        <f aca="false">EventDate-220</f>
        <v>46482</v>
      </c>
      <c r="E26" s="55" t="n">
        <f aca="false">EventDate-104</f>
        <v>46598</v>
      </c>
      <c r="F26" s="55" t="n">
        <f aca="false">E26+14</f>
        <v>46612</v>
      </c>
      <c r="G26" s="52" t="s">
        <v>157</v>
      </c>
      <c r="H26" s="61" t="n">
        <v>0</v>
      </c>
      <c r="I26" s="52" t="n">
        <f aca="true">IF(E26="","",IF(G26="Done","Done",E26-TODAY()))</f>
        <v>277</v>
      </c>
      <c r="J26" s="61" t="n">
        <f aca="true">IF(OR(D26="",E26=""),"",IF(E26&gt;D26,MAX(0,MIN(1,(TODAY()-D26)/(E26-D26))),IF(TODAY()&gt;=E26,1,0)))</f>
        <v>0</v>
      </c>
      <c r="K26" s="52" t="n">
        <f aca="false">IF(J26="","",ROUND(J26*100-H26*100,0))</f>
        <v>0</v>
      </c>
      <c r="L26" s="62" t="str">
        <f aca="true">IF(OR(D26="",E26=""),"GREY",IF(G26="On hold","GREY",IF(G26="Done","GREEN",IF(E26&lt;TODAY(),"RED",IF(K26&gt;=30,"RED",IF(K26&gt;=15,"AMBER","GREEN"))))))</f>
        <v>GREEN</v>
      </c>
      <c r="M26" s="53" t="s">
        <v>430</v>
      </c>
    </row>
    <row r="27" customFormat="false" ht="18" hidden="false" customHeight="true" outlineLevel="0" collapsed="false">
      <c r="A27" s="60" t="s">
        <v>179</v>
      </c>
      <c r="B27" s="60"/>
      <c r="C27" s="60"/>
      <c r="D27" s="60"/>
      <c r="E27" s="60"/>
      <c r="F27" s="60"/>
      <c r="G27" s="60"/>
      <c r="H27" s="60"/>
      <c r="I27" s="60"/>
      <c r="J27" s="60"/>
      <c r="K27" s="60"/>
      <c r="L27" s="60"/>
      <c r="M27" s="60"/>
    </row>
    <row r="28" customFormat="false" ht="30" hidden="false" customHeight="true" outlineLevel="0" collapsed="false">
      <c r="A28" s="52" t="n">
        <v>20</v>
      </c>
      <c r="B28" s="53" t="s">
        <v>431</v>
      </c>
      <c r="C28" s="53" t="s">
        <v>396</v>
      </c>
      <c r="D28" s="55" t="n">
        <f aca="false">EventDate-129</f>
        <v>46573</v>
      </c>
      <c r="E28" s="55" t="n">
        <f aca="false">EventDate-90</f>
        <v>46612</v>
      </c>
      <c r="F28" s="55" t="n">
        <f aca="false">E28+14</f>
        <v>46626</v>
      </c>
      <c r="G28" s="52" t="s">
        <v>157</v>
      </c>
      <c r="H28" s="61" t="n">
        <v>0</v>
      </c>
      <c r="I28" s="52" t="n">
        <f aca="true">IF(E28="","",IF(G28="Done","Done",E28-TODAY()))</f>
        <v>291</v>
      </c>
      <c r="J28" s="61" t="n">
        <f aca="true">IF(OR(D28="",E28=""),"",IF(E28&gt;D28,MAX(0,MIN(1,(TODAY()-D28)/(E28-D28))),IF(TODAY()&gt;=E28,1,0)))</f>
        <v>0</v>
      </c>
      <c r="K28" s="52" t="n">
        <f aca="false">IF(J28="","",ROUND(J28*100-H28*100,0))</f>
        <v>0</v>
      </c>
      <c r="L28" s="62" t="str">
        <f aca="true">IF(OR(D28="",E28=""),"GREY",IF(G28="On hold","GREY",IF(G28="Done","GREEN",IF(E28&lt;TODAY(),"RED",IF(K28&gt;=30,"RED",IF(K28&gt;=15,"AMBER","GREEN"))))))</f>
        <v>GREEN</v>
      </c>
      <c r="M28" s="53" t="s">
        <v>273</v>
      </c>
    </row>
    <row r="29" customFormat="false" ht="30" hidden="false" customHeight="true" outlineLevel="0" collapsed="false">
      <c r="A29" s="52" t="n">
        <v>21</v>
      </c>
      <c r="B29" s="53" t="s">
        <v>432</v>
      </c>
      <c r="C29" s="53" t="s">
        <v>396</v>
      </c>
      <c r="D29" s="55" t="n">
        <f aca="false">EventDate-129</f>
        <v>46573</v>
      </c>
      <c r="E29" s="55" t="n">
        <f aca="false">EventDate-72</f>
        <v>46630</v>
      </c>
      <c r="F29" s="55" t="n">
        <f aca="false">E29+14</f>
        <v>46644</v>
      </c>
      <c r="G29" s="52" t="s">
        <v>157</v>
      </c>
      <c r="H29" s="61" t="n">
        <v>0</v>
      </c>
      <c r="I29" s="52" t="n">
        <f aca="true">IF(E29="","",IF(G29="Done","Done",E29-TODAY()))</f>
        <v>309</v>
      </c>
      <c r="J29" s="61" t="n">
        <f aca="true">IF(OR(D29="",E29=""),"",IF(E29&gt;D29,MAX(0,MIN(1,(TODAY()-D29)/(E29-D29))),IF(TODAY()&gt;=E29,1,0)))</f>
        <v>0</v>
      </c>
      <c r="K29" s="52" t="n">
        <f aca="false">IF(J29="","",ROUND(J29*100-H29*100,0))</f>
        <v>0</v>
      </c>
      <c r="L29" s="62" t="str">
        <f aca="true">IF(OR(D29="",E29=""),"GREY",IF(G29="On hold","GREY",IF(G29="Done","GREEN",IF(E29&lt;TODAY(),"RED",IF(K29&gt;=30,"RED",IF(K29&gt;=15,"AMBER","GREEN"))))))</f>
        <v>GREEN</v>
      </c>
      <c r="M29" s="53" t="s">
        <v>433</v>
      </c>
    </row>
    <row r="30" customFormat="false" ht="30" hidden="false" customHeight="true" outlineLevel="0" collapsed="false">
      <c r="A30" s="52" t="n">
        <v>22</v>
      </c>
      <c r="B30" s="53" t="s">
        <v>434</v>
      </c>
      <c r="C30" s="53" t="s">
        <v>396</v>
      </c>
      <c r="D30" s="55" t="n">
        <f aca="false">EventDate-101</f>
        <v>46601</v>
      </c>
      <c r="E30" s="55" t="n">
        <f aca="false">EventDate-55</f>
        <v>46647</v>
      </c>
      <c r="F30" s="55" t="n">
        <f aca="false">E30+14</f>
        <v>46661</v>
      </c>
      <c r="G30" s="52" t="s">
        <v>157</v>
      </c>
      <c r="H30" s="61" t="n">
        <v>0</v>
      </c>
      <c r="I30" s="52" t="n">
        <f aca="true">IF(E30="","",IF(G30="Done","Done",E30-TODAY()))</f>
        <v>326</v>
      </c>
      <c r="J30" s="61" t="n">
        <f aca="true">IF(OR(D30="",E30=""),"",IF(E30&gt;D30,MAX(0,MIN(1,(TODAY()-D30)/(E30-D30))),IF(TODAY()&gt;=E30,1,0)))</f>
        <v>0</v>
      </c>
      <c r="K30" s="52" t="n">
        <f aca="false">IF(J30="","",ROUND(J30*100-H30*100,0))</f>
        <v>0</v>
      </c>
      <c r="L30" s="62" t="str">
        <f aca="true">IF(OR(D30="",E30=""),"GREY",IF(G30="On hold","GREY",IF(G30="Done","GREEN",IF(E30&lt;TODAY(),"RED",IF(K30&gt;=30,"RED",IF(K30&gt;=15,"AMBER","GREEN"))))))</f>
        <v>GREEN</v>
      </c>
      <c r="M30" s="53" t="s">
        <v>273</v>
      </c>
    </row>
    <row r="31" customFormat="false" ht="30" hidden="false" customHeight="true" outlineLevel="0" collapsed="false">
      <c r="A31" s="52" t="n">
        <v>23</v>
      </c>
      <c r="B31" s="53" t="s">
        <v>435</v>
      </c>
      <c r="C31" s="53" t="s">
        <v>396</v>
      </c>
      <c r="D31" s="55" t="n">
        <f aca="false">EventDate-80</f>
        <v>46622</v>
      </c>
      <c r="E31" s="55" t="n">
        <f aca="false">EventDate-69</f>
        <v>46633</v>
      </c>
      <c r="F31" s="55" t="n">
        <f aca="false">E31+14</f>
        <v>46647</v>
      </c>
      <c r="G31" s="52" t="s">
        <v>157</v>
      </c>
      <c r="H31" s="61" t="n">
        <v>0</v>
      </c>
      <c r="I31" s="52" t="n">
        <f aca="true">IF(E31="","",IF(G31="Done","Done",E31-TODAY()))</f>
        <v>312</v>
      </c>
      <c r="J31" s="61" t="n">
        <f aca="true">IF(OR(D31="",E31=""),"",IF(E31&gt;D31,MAX(0,MIN(1,(TODAY()-D31)/(E31-D31))),IF(TODAY()&gt;=E31,1,0)))</f>
        <v>0</v>
      </c>
      <c r="K31" s="52" t="n">
        <f aca="false">IF(J31="","",ROUND(J31*100-H31*100,0))</f>
        <v>0</v>
      </c>
      <c r="L31" s="62" t="str">
        <f aca="true">IF(OR(D31="",E31=""),"GREY",IF(G31="On hold","GREY",IF(G31="Done","GREEN",IF(E31&lt;TODAY(),"RED",IF(K31&gt;=30,"RED",IF(K31&gt;=15,"AMBER","GREEN"))))))</f>
        <v>GREEN</v>
      </c>
      <c r="M31" s="53" t="s">
        <v>436</v>
      </c>
    </row>
    <row r="32" customFormat="false" ht="30" hidden="false" customHeight="true" outlineLevel="0" collapsed="false">
      <c r="A32" s="52" t="n">
        <v>24</v>
      </c>
      <c r="B32" s="53" t="s">
        <v>437</v>
      </c>
      <c r="C32" s="53" t="s">
        <v>396</v>
      </c>
      <c r="D32" s="55" t="n">
        <f aca="false">EventDate-45</f>
        <v>46657</v>
      </c>
      <c r="E32" s="55" t="n">
        <f aca="false">EventDate-42</f>
        <v>46660</v>
      </c>
      <c r="F32" s="55" t="n">
        <f aca="false">E32+14</f>
        <v>46674</v>
      </c>
      <c r="G32" s="52" t="s">
        <v>157</v>
      </c>
      <c r="H32" s="61" t="n">
        <v>0</v>
      </c>
      <c r="I32" s="52" t="n">
        <f aca="true">IF(E32="","",IF(G32="Done","Done",E32-TODAY()))</f>
        <v>339</v>
      </c>
      <c r="J32" s="61" t="n">
        <f aca="true">IF(OR(D32="",E32=""),"",IF(E32&gt;D32,MAX(0,MIN(1,(TODAY()-D32)/(E32-D32))),IF(TODAY()&gt;=E32,1,0)))</f>
        <v>0</v>
      </c>
      <c r="K32" s="52" t="n">
        <f aca="false">IF(J32="","",ROUND(J32*100-H32*100,0))</f>
        <v>0</v>
      </c>
      <c r="L32" s="62" t="str">
        <f aca="true">IF(OR(D32="",E32=""),"GREY",IF(G32="On hold","GREY",IF(G32="Done","GREEN",IF(E32&lt;TODAY(),"RED",IF(K32&gt;=30,"RED",IF(K32&gt;=15,"AMBER","GREEN"))))))</f>
        <v>GREEN</v>
      </c>
      <c r="M32" s="53" t="s">
        <v>237</v>
      </c>
    </row>
    <row r="33" customFormat="false" ht="18" hidden="false" customHeight="true" outlineLevel="0" collapsed="false">
      <c r="A33" s="63" t="s">
        <v>185</v>
      </c>
      <c r="B33" s="63"/>
      <c r="C33" s="63"/>
      <c r="D33" s="63"/>
      <c r="E33" s="63"/>
      <c r="F33" s="63"/>
      <c r="G33" s="63"/>
      <c r="H33" s="63"/>
      <c r="I33" s="63"/>
      <c r="J33" s="63"/>
      <c r="K33" s="63"/>
      <c r="L33" s="63"/>
      <c r="M33" s="63"/>
    </row>
    <row r="34" customFormat="false" ht="30" hidden="false" customHeight="true" outlineLevel="0" collapsed="false">
      <c r="A34" s="64" t="n">
        <v>25</v>
      </c>
      <c r="B34" s="65" t="s">
        <v>438</v>
      </c>
      <c r="C34" s="65" t="s">
        <v>396</v>
      </c>
      <c r="D34" s="66" t="n">
        <f aca="false">EventDate-24</f>
        <v>46678</v>
      </c>
      <c r="E34" s="66" t="n">
        <f aca="false">EventDate-13</f>
        <v>46689</v>
      </c>
      <c r="F34" s="66" t="n">
        <f aca="false">E34</f>
        <v>46689</v>
      </c>
      <c r="G34" s="64" t="s">
        <v>157</v>
      </c>
      <c r="H34" s="67" t="n">
        <v>0</v>
      </c>
      <c r="I34" s="64" t="n">
        <f aca="true">IF(E34="","",IF(G34="Done","Done",E34-TODAY()))</f>
        <v>368</v>
      </c>
      <c r="J34" s="67" t="n">
        <f aca="true">IF(OR(D34="",E34=""),"",IF(E34&gt;D34,MAX(0,MIN(1,(TODAY()-D34)/(E34-D34))),IF(TODAY()&gt;=E34,1,0)))</f>
        <v>0</v>
      </c>
      <c r="K34" s="64" t="n">
        <f aca="false">IF(J34="","",ROUND(J34*100-H34*100,0))</f>
        <v>0</v>
      </c>
      <c r="L34" s="68" t="str">
        <f aca="true">IF(OR(D34="",E34=""),"GREY",IF(G34="On hold","GREY",IF(G34="Done","GREEN",IF(E34&lt;TODAY(),"RED",IF(K34&gt;=30,"RED",IF(K34&gt;=15,"AMBER","GREEN"))))))</f>
        <v>GREEN</v>
      </c>
      <c r="M34" s="65" t="s">
        <v>289</v>
      </c>
    </row>
    <row r="35" customFormat="false" ht="30" hidden="false" customHeight="true" outlineLevel="0" collapsed="false">
      <c r="A35" s="64" t="n">
        <v>26</v>
      </c>
      <c r="B35" s="65" t="s">
        <v>439</v>
      </c>
      <c r="C35" s="65" t="s">
        <v>396</v>
      </c>
      <c r="D35" s="66" t="n">
        <f aca="false">EventDate-17</f>
        <v>46685</v>
      </c>
      <c r="E35" s="66" t="n">
        <f aca="false">EventDate-6</f>
        <v>46696</v>
      </c>
      <c r="F35" s="66" t="n">
        <f aca="false">E35</f>
        <v>46696</v>
      </c>
      <c r="G35" s="64" t="s">
        <v>157</v>
      </c>
      <c r="H35" s="67" t="n">
        <v>0</v>
      </c>
      <c r="I35" s="64" t="n">
        <f aca="true">IF(E35="","",IF(G35="Done","Done",E35-TODAY()))</f>
        <v>375</v>
      </c>
      <c r="J35" s="67" t="n">
        <f aca="true">IF(OR(D35="",E35=""),"",IF(E35&gt;D35,MAX(0,MIN(1,(TODAY()-D35)/(E35-D35))),IF(TODAY()&gt;=E35,1,0)))</f>
        <v>0</v>
      </c>
      <c r="K35" s="64" t="n">
        <f aca="false">IF(J35="","",ROUND(J35*100-H35*100,0))</f>
        <v>0</v>
      </c>
      <c r="L35" s="68" t="str">
        <f aca="true">IF(OR(D35="",E35=""),"GREY",IF(G35="On hold","GREY",IF(G35="Done","GREEN",IF(E35&lt;TODAY(),"RED",IF(K35&gt;=30,"RED",IF(K35&gt;=15,"AMBER","GREEN"))))))</f>
        <v>GREEN</v>
      </c>
      <c r="M35" s="65" t="s">
        <v>440</v>
      </c>
    </row>
    <row r="36" customFormat="false" ht="18" hidden="false" customHeight="true" outlineLevel="0" collapsed="false">
      <c r="A36" s="60" t="s">
        <v>190</v>
      </c>
      <c r="B36" s="60"/>
      <c r="C36" s="60"/>
      <c r="D36" s="60"/>
      <c r="E36" s="60"/>
      <c r="F36" s="60"/>
      <c r="G36" s="60"/>
      <c r="H36" s="60"/>
      <c r="I36" s="60"/>
      <c r="J36" s="60"/>
      <c r="K36" s="60"/>
      <c r="L36" s="60"/>
      <c r="M36" s="60"/>
    </row>
    <row r="37" customFormat="false" ht="30" hidden="false" customHeight="true" outlineLevel="0" collapsed="false">
      <c r="A37" s="52" t="n">
        <v>27</v>
      </c>
      <c r="B37" s="53" t="s">
        <v>441</v>
      </c>
      <c r="C37" s="53" t="s">
        <v>396</v>
      </c>
      <c r="D37" s="55" t="n">
        <f aca="false">EventDate</f>
        <v>46702</v>
      </c>
      <c r="E37" s="55" t="n">
        <f aca="false">EventDate+7</f>
        <v>46709</v>
      </c>
      <c r="F37" s="55" t="n">
        <f aca="false">E37+14</f>
        <v>46723</v>
      </c>
      <c r="G37" s="52" t="s">
        <v>157</v>
      </c>
      <c r="H37" s="61" t="n">
        <v>0</v>
      </c>
      <c r="I37" s="52" t="n">
        <f aca="true">IF(E37="","",IF(G37="Done","Done",E37-TODAY()))</f>
        <v>388</v>
      </c>
      <c r="J37" s="61" t="n">
        <f aca="true">IF(OR(D37="",E37=""),"",IF(E37&gt;D37,MAX(0,MIN(1,(TODAY()-D37)/(E37-D37))),IF(TODAY()&gt;=E37,1,0)))</f>
        <v>0</v>
      </c>
      <c r="K37" s="52" t="n">
        <f aca="false">IF(J37="","",ROUND(J37*100-H37*100,0))</f>
        <v>0</v>
      </c>
      <c r="L37" s="62" t="str">
        <f aca="true">IF(OR(D37="",E37=""),"GREY",IF(G37="On hold","GREY",IF(G37="Done","GREEN",IF(E37&lt;TODAY(),"RED",IF(K37&gt;=30,"RED",IF(K37&gt;=15,"AMBER","GREEN"))))))</f>
        <v>GREEN</v>
      </c>
      <c r="M37" s="53" t="s">
        <v>388</v>
      </c>
    </row>
    <row r="38" customFormat="false" ht="30" hidden="false" customHeight="true" outlineLevel="0" collapsed="false">
      <c r="A38" s="52" t="n">
        <v>28</v>
      </c>
      <c r="B38" s="53" t="s">
        <v>442</v>
      </c>
      <c r="C38" s="53" t="s">
        <v>396</v>
      </c>
      <c r="D38" s="55" t="n">
        <f aca="false">EventDate+20</f>
        <v>46722</v>
      </c>
      <c r="E38" s="55" t="n">
        <f aca="false">EventDate+36</f>
        <v>46738</v>
      </c>
      <c r="F38" s="55" t="n">
        <f aca="false">E38+14</f>
        <v>46752</v>
      </c>
      <c r="G38" s="52" t="s">
        <v>157</v>
      </c>
      <c r="H38" s="61" t="n">
        <v>0</v>
      </c>
      <c r="I38" s="52" t="n">
        <f aca="true">IF(E38="","",IF(G38="Done","Done",E38-TODAY()))</f>
        <v>417</v>
      </c>
      <c r="J38" s="61" t="n">
        <f aca="true">IF(OR(D38="",E38=""),"",IF(E38&gt;D38,MAX(0,MIN(1,(TODAY()-D38)/(E38-D38))),IF(TODAY()&gt;=E38,1,0)))</f>
        <v>0</v>
      </c>
      <c r="K38" s="52" t="n">
        <f aca="false">IF(J38="","",ROUND(J38*100-H38*100,0))</f>
        <v>0</v>
      </c>
      <c r="L38" s="62" t="str">
        <f aca="true">IF(OR(D38="",E38=""),"GREY",IF(G38="On hold","GREY",IF(G38="Done","GREEN",IF(E38&lt;TODAY(),"RED",IF(K38&gt;=30,"RED",IF(K38&gt;=15,"AMBER","GREEN"))))))</f>
        <v>GREEN</v>
      </c>
      <c r="M38" s="53" t="s">
        <v>273</v>
      </c>
    </row>
  </sheetData>
  <mergeCells count="9">
    <mergeCell ref="A1:M1"/>
    <mergeCell ref="A2:M2"/>
    <mergeCell ref="A3:C3"/>
    <mergeCell ref="A4:M4"/>
    <mergeCell ref="A6:M6"/>
    <mergeCell ref="A19:M19"/>
    <mergeCell ref="A27:M27"/>
    <mergeCell ref="A33:M33"/>
    <mergeCell ref="A36:M36"/>
  </mergeCells>
  <conditionalFormatting sqref="L6:L38">
    <cfRule type="cellIs" priority="2" operator="equal" aboveAverage="0" equalAverage="0" bottom="0" percent="0" rank="0" text="" dxfId="0">
      <formula>"RED"</formula>
    </cfRule>
    <cfRule type="cellIs" priority="3" operator="equal" aboveAverage="0" equalAverage="0" bottom="0" percent="0" rank="0" text="" dxfId="8">
      <formula>"AMBER"</formula>
    </cfRule>
    <cfRule type="cellIs" priority="4" operator="equal" aboveAverage="0" equalAverage="0" bottom="0" percent="0" rank="0" text="" dxfId="9">
      <formula>"GREEN"</formula>
    </cfRule>
    <cfRule type="cellIs" priority="5" operator="equal" aboveAverage="0" equalAverage="0" bottom="0" percent="0" rank="0" text="" dxfId="10">
      <formula>"GREY"</formula>
    </cfRule>
  </conditionalFormatting>
  <conditionalFormatting sqref="G6:G38">
    <cfRule type="cellIs" priority="6" operator="equal" aboveAverage="0" equalAverage="0" bottom="0" percent="0" rank="0" text="" dxfId="3">
      <formula>"Done"</formula>
    </cfRule>
    <cfRule type="cellIs" priority="7" operator="equal" aboveAverage="0" equalAverage="0" bottom="0" percent="0" rank="0" text="" dxfId="11">
      <formula>"In progress"</formula>
    </cfRule>
    <cfRule type="cellIs" priority="8" operator="equal" aboveAverage="0" equalAverage="0" bottom="0" percent="0" rank="0" text="" dxfId="5">
      <formula>"Blocked"</formula>
    </cfRule>
    <cfRule type="cellIs" priority="9" operator="equal" aboveAverage="0" equalAverage="0" bottom="0" percent="0" rank="0" text="" dxfId="12">
      <formula>"On hold"</formula>
    </cfRule>
  </conditionalFormatting>
  <conditionalFormatting sqref="H6:H38">
    <cfRule type="colorScale" priority="10">
      <colorScale>
        <cfvo type="num" val="0"/>
        <cfvo type="num" val="1"/>
        <color rgb="FFFFFFFF"/>
        <color rgb="FFA9D08E"/>
      </colorScale>
    </cfRule>
  </conditionalFormatting>
  <conditionalFormatting sqref="M3">
    <cfRule type="expression" priority="11" aboveAverage="0" equalAverage="0" bottom="0" percent="0" rank="0" text="" dxfId="3">
      <formula>$I$3+$K$3=0</formula>
    </cfRule>
    <cfRule type="expression" priority="12" aboveAverage="0" equalAverage="0" bottom="0" percent="0" rank="0" text="" dxfId="5">
      <formula>$I$3+$K$3&gt;0</formula>
    </cfRule>
  </conditionalFormatting>
  <dataValidations count="2">
    <dataValidation allowBlank="false" error="Enter a value between 0% and 100%." errorStyle="stop" errorTitle="Progress" operator="between" showDropDown="false" showErrorMessage="false" showInputMessage="false" sqref="H6:H38" type="decimal">
      <formula1>0</formula1>
      <formula2>1</formula2>
    </dataValidation>
    <dataValidation allowBlank="false" errorStyle="stop" operator="between" showDropDown="false" showErrorMessage="false" showInputMessage="false" sqref="G6:G38" type="list">
      <formula1>"Not started,In progress,Done,Blocked,On hold"</formula1>
      <formula2>0</formula2>
    </dataValidation>
  </dataValidations>
  <printOptions headings="false" gridLines="false" gridLinesSet="true" horizontalCentered="false" verticalCentered="false"/>
  <pageMargins left="0.4" right="0.4" top="0.5" bottom="0.5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&amp;A  -  page &amp;P of &amp;N  -  PROPOSED date, subject to sponsor approval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8A"/>
    <pageSetUpPr fitToPage="true"/>
  </sheetPr>
  <dimension ref="A1:M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22"/>
    <col collapsed="false" customWidth="true" hidden="false" outlineLevel="0" max="4" min="4" style="0" width="12"/>
    <col collapsed="false" customWidth="true" hidden="false" outlineLevel="0" max="5" min="5" style="0" width="13"/>
    <col collapsed="false" customWidth="true" hidden="false" outlineLevel="0" max="7" min="6" style="0" width="12"/>
    <col collapsed="false" customWidth="true" hidden="false" outlineLevel="0" max="8" min="8" style="0" width="10"/>
    <col collapsed="false" customWidth="true" hidden="false" outlineLevel="0" max="10" min="9" style="0" width="8"/>
    <col collapsed="false" customWidth="true" hidden="false" outlineLevel="0" max="12" min="11" style="0" width="9"/>
    <col collapsed="false" customWidth="true" hidden="false" outlineLevel="0" max="13" min="13" style="0" width="62"/>
  </cols>
  <sheetData>
    <row r="1" customFormat="false" ht="27.75" hidden="false" customHeight="true" outlineLevel="0" collapsed="false">
      <c r="A1" s="42" t="s">
        <v>443</v>
      </c>
      <c r="B1" s="42"/>
      <c r="C1" s="42"/>
      <c r="D1" s="42"/>
      <c r="E1" s="42"/>
      <c r="F1" s="42"/>
      <c r="G1" s="42"/>
      <c r="H1" s="42"/>
      <c r="I1" s="42"/>
      <c r="J1" s="42"/>
      <c r="K1" s="42"/>
      <c r="L1" s="42"/>
      <c r="M1" s="42"/>
    </row>
    <row r="2" customFormat="false" ht="19.5" hidden="false" customHeight="true" outlineLevel="0" collapsed="false">
      <c r="A2" s="43" t="s">
        <v>86</v>
      </c>
      <c r="B2" s="43"/>
      <c r="C2" s="43"/>
      <c r="D2" s="43"/>
      <c r="E2" s="43"/>
      <c r="F2" s="43"/>
      <c r="G2" s="43"/>
      <c r="H2" s="43"/>
      <c r="I2" s="43"/>
      <c r="J2" s="43"/>
      <c r="K2" s="43"/>
      <c r="L2" s="43"/>
      <c r="M2" s="43"/>
    </row>
    <row r="3" customFormat="false" ht="19.5" hidden="false" customHeight="true" outlineLevel="0" collapsed="false">
      <c r="A3" s="56" t="s">
        <v>444</v>
      </c>
      <c r="B3" s="56"/>
      <c r="C3" s="56"/>
      <c r="D3" s="57" t="s">
        <v>16</v>
      </c>
      <c r="E3" s="57" t="n">
        <f aca="false">COUNT(A6:A27)</f>
        <v>17</v>
      </c>
      <c r="F3" s="57" t="s">
        <v>17</v>
      </c>
      <c r="G3" s="57" t="n">
        <f aca="false">COUNTIF(G6:G27,"Done")</f>
        <v>0</v>
      </c>
      <c r="H3" s="57" t="s">
        <v>19</v>
      </c>
      <c r="I3" s="57" t="n">
        <f aca="false">COUNTIF(L6:L27,"RED")</f>
        <v>0</v>
      </c>
      <c r="J3" s="57" t="s">
        <v>20</v>
      </c>
      <c r="K3" s="57" t="n">
        <f aca="false">COUNTIF(L6:L27,"AMBER")</f>
        <v>0</v>
      </c>
      <c r="L3" s="57" t="s">
        <v>141</v>
      </c>
      <c r="M3" s="58" t="str">
        <f aca="false" t="array" ref="M3:M3">IF(I3+K3=0,"Nothing behind schedule",_xlfn.TEXTJOIN(", ",TRUE(),IF((L6:L27="RED")+(L6:L27="AMBER"),"#"&amp;A6:A27,"")))</f>
        <v>Nothing behind schedule</v>
      </c>
    </row>
    <row r="4" customFormat="false" ht="25.5" hidden="false" customHeight="true" outlineLevel="0" collapsed="false">
      <c r="A4" s="59" t="s">
        <v>142</v>
      </c>
      <c r="B4" s="59"/>
      <c r="C4" s="59"/>
      <c r="D4" s="59"/>
      <c r="E4" s="59"/>
      <c r="F4" s="59"/>
      <c r="G4" s="59"/>
      <c r="H4" s="59"/>
      <c r="I4" s="59"/>
      <c r="J4" s="59"/>
      <c r="K4" s="59"/>
      <c r="L4" s="59"/>
      <c r="M4" s="59"/>
    </row>
    <row r="5" customFormat="false" ht="31.5" hidden="false" customHeight="true" outlineLevel="0" collapsed="false">
      <c r="A5" s="10" t="s">
        <v>143</v>
      </c>
      <c r="B5" s="10" t="s">
        <v>144</v>
      </c>
      <c r="C5" s="10" t="s">
        <v>145</v>
      </c>
      <c r="D5" s="10" t="s">
        <v>146</v>
      </c>
      <c r="E5" s="10" t="s">
        <v>147</v>
      </c>
      <c r="F5" s="10" t="s">
        <v>148</v>
      </c>
      <c r="G5" s="10" t="s">
        <v>23</v>
      </c>
      <c r="H5" s="10" t="s">
        <v>149</v>
      </c>
      <c r="I5" s="10" t="s">
        <v>150</v>
      </c>
      <c r="J5" s="10" t="s">
        <v>151</v>
      </c>
      <c r="K5" s="10" t="s">
        <v>152</v>
      </c>
      <c r="L5" s="10" t="s">
        <v>153</v>
      </c>
      <c r="M5" s="10" t="s">
        <v>154</v>
      </c>
    </row>
    <row r="6" customFormat="false" ht="18" hidden="false" customHeight="true" outlineLevel="0" collapsed="false">
      <c r="A6" s="60" t="s">
        <v>155</v>
      </c>
      <c r="B6" s="60"/>
      <c r="C6" s="60"/>
      <c r="D6" s="60"/>
      <c r="E6" s="60"/>
      <c r="F6" s="60"/>
      <c r="G6" s="60"/>
      <c r="H6" s="60"/>
      <c r="I6" s="60"/>
      <c r="J6" s="60"/>
      <c r="K6" s="60"/>
      <c r="L6" s="60"/>
      <c r="M6" s="60"/>
    </row>
    <row r="7" customFormat="false" ht="30" hidden="false" customHeight="true" outlineLevel="0" collapsed="false">
      <c r="A7" s="52" t="n">
        <v>1</v>
      </c>
      <c r="B7" s="53" t="s">
        <v>445</v>
      </c>
      <c r="C7" s="53" t="s">
        <v>28</v>
      </c>
      <c r="D7" s="55" t="n">
        <v>46335</v>
      </c>
      <c r="E7" s="55" t="n">
        <v>46374</v>
      </c>
      <c r="F7" s="55" t="n">
        <f aca="false">E7+14</f>
        <v>46388</v>
      </c>
      <c r="G7" s="52" t="s">
        <v>157</v>
      </c>
      <c r="H7" s="61" t="n">
        <v>0</v>
      </c>
      <c r="I7" s="52" t="n">
        <f aca="true">IF(E7="","",IF(G7="Done","Done",E7-TODAY()))</f>
        <v>53</v>
      </c>
      <c r="J7" s="61" t="n">
        <f aca="true">IF(OR(D7="",E7=""),"",IF(E7&gt;D7,MAX(0,MIN(1,(TODAY()-D7)/(E7-D7))),IF(TODAY()&gt;=E7,1,0)))</f>
        <v>0</v>
      </c>
      <c r="K7" s="52" t="n">
        <f aca="false">IF(J7="","",ROUND(J7*100-H7*100,0))</f>
        <v>0</v>
      </c>
      <c r="L7" s="62" t="str">
        <f aca="true">IF(OR(D7="",E7=""),"GREY",IF(G7="On hold","GREY",IF(G7="Done","GREEN",IF(E7&lt;TODAY(),"RED",IF(K7&gt;=30,"RED",IF(K7&gt;=15,"AMBER","GREEN"))))))</f>
        <v>GREEN</v>
      </c>
      <c r="M7" s="53" t="s">
        <v>446</v>
      </c>
    </row>
    <row r="8" customFormat="false" ht="43.5" hidden="false" customHeight="true" outlineLevel="0" collapsed="false">
      <c r="A8" s="52" t="n">
        <v>2</v>
      </c>
      <c r="B8" s="53" t="s">
        <v>447</v>
      </c>
      <c r="C8" s="53" t="s">
        <v>28</v>
      </c>
      <c r="D8" s="55" t="n">
        <v>46335</v>
      </c>
      <c r="E8" s="55" t="n">
        <v>46402</v>
      </c>
      <c r="F8" s="55" t="n">
        <f aca="false">E8+14</f>
        <v>46416</v>
      </c>
      <c r="G8" s="52" t="s">
        <v>157</v>
      </c>
      <c r="H8" s="61" t="n">
        <v>0</v>
      </c>
      <c r="I8" s="52" t="n">
        <f aca="true">IF(E8="","",IF(G8="Done","Done",E8-TODAY()))</f>
        <v>81</v>
      </c>
      <c r="J8" s="61" t="n">
        <f aca="true">IF(OR(D8="",E8=""),"",IF(E8&gt;D8,MAX(0,MIN(1,(TODAY()-D8)/(E8-D8))),IF(TODAY()&gt;=E8,1,0)))</f>
        <v>0</v>
      </c>
      <c r="K8" s="52" t="n">
        <f aca="false">IF(J8="","",ROUND(J8*100-H8*100,0))</f>
        <v>0</v>
      </c>
      <c r="L8" s="62" t="str">
        <f aca="true">IF(OR(D8="",E8=""),"GREY",IF(G8="On hold","GREY",IF(G8="Done","GREEN",IF(E8&lt;TODAY(),"RED",IF(K8&gt;=30,"RED",IF(K8&gt;=15,"AMBER","GREEN"))))))</f>
        <v>GREEN</v>
      </c>
      <c r="M8" s="53" t="s">
        <v>448</v>
      </c>
    </row>
    <row r="9" customFormat="false" ht="30" hidden="false" customHeight="true" outlineLevel="0" collapsed="false">
      <c r="A9" s="52" t="n">
        <v>3</v>
      </c>
      <c r="B9" s="53" t="s">
        <v>449</v>
      </c>
      <c r="C9" s="53" t="s">
        <v>450</v>
      </c>
      <c r="D9" s="55" t="n">
        <v>46349</v>
      </c>
      <c r="E9" s="55" t="n">
        <v>46367</v>
      </c>
      <c r="F9" s="55" t="n">
        <f aca="false">E9+14</f>
        <v>46381</v>
      </c>
      <c r="G9" s="52" t="s">
        <v>157</v>
      </c>
      <c r="H9" s="61" t="n">
        <v>0</v>
      </c>
      <c r="I9" s="52" t="n">
        <f aca="true">IF(E9="","",IF(G9="Done","Done",E9-TODAY()))</f>
        <v>46</v>
      </c>
      <c r="J9" s="61" t="n">
        <f aca="true">IF(OR(D9="",E9=""),"",IF(E9&gt;D9,MAX(0,MIN(1,(TODAY()-D9)/(E9-D9))),IF(TODAY()&gt;=E9,1,0)))</f>
        <v>0</v>
      </c>
      <c r="K9" s="52" t="n">
        <f aca="false">IF(J9="","",ROUND(J9*100-H9*100,0))</f>
        <v>0</v>
      </c>
      <c r="L9" s="62" t="str">
        <f aca="true">IF(OR(D9="",E9=""),"GREY",IF(G9="On hold","GREY",IF(G9="Done","GREEN",IF(E9&lt;TODAY(),"RED",IF(K9&gt;=30,"RED",IF(K9&gt;=15,"AMBER","GREEN"))))))</f>
        <v>GREEN</v>
      </c>
      <c r="M9" s="53" t="s">
        <v>451</v>
      </c>
    </row>
    <row r="10" customFormat="false" ht="18" hidden="false" customHeight="true" outlineLevel="0" collapsed="false">
      <c r="A10" s="60" t="s">
        <v>171</v>
      </c>
      <c r="B10" s="60"/>
      <c r="C10" s="60"/>
      <c r="D10" s="60"/>
      <c r="E10" s="60"/>
      <c r="F10" s="60"/>
      <c r="G10" s="60"/>
      <c r="H10" s="60"/>
      <c r="I10" s="60"/>
      <c r="J10" s="60"/>
      <c r="K10" s="60"/>
      <c r="L10" s="60"/>
      <c r="M10" s="60"/>
    </row>
    <row r="11" customFormat="false" ht="30" hidden="false" customHeight="true" outlineLevel="0" collapsed="false">
      <c r="A11" s="52" t="n">
        <v>4</v>
      </c>
      <c r="B11" s="53" t="s">
        <v>452</v>
      </c>
      <c r="C11" s="53" t="s">
        <v>450</v>
      </c>
      <c r="D11" s="55" t="n">
        <v>46391</v>
      </c>
      <c r="E11" s="55" t="n">
        <v>46416</v>
      </c>
      <c r="F11" s="55" t="n">
        <f aca="false">E11+14</f>
        <v>46430</v>
      </c>
      <c r="G11" s="52" t="s">
        <v>157</v>
      </c>
      <c r="H11" s="61" t="n">
        <v>0</v>
      </c>
      <c r="I11" s="52" t="n">
        <f aca="true">IF(E11="","",IF(G11="Done","Done",E11-TODAY()))</f>
        <v>95</v>
      </c>
      <c r="J11" s="61" t="n">
        <f aca="true">IF(OR(D11="",E11=""),"",IF(E11&gt;D11,MAX(0,MIN(1,(TODAY()-D11)/(E11-D11))),IF(TODAY()&gt;=E11,1,0)))</f>
        <v>0</v>
      </c>
      <c r="K11" s="52" t="n">
        <f aca="false">IF(J11="","",ROUND(J11*100-H11*100,0))</f>
        <v>0</v>
      </c>
      <c r="L11" s="62" t="str">
        <f aca="true">IF(OR(D11="",E11=""),"GREY",IF(G11="On hold","GREY",IF(G11="Done","GREEN",IF(E11&lt;TODAY(),"RED",IF(K11&gt;=30,"RED",IF(K11&gt;=15,"AMBER","GREEN"))))))</f>
        <v>GREEN</v>
      </c>
      <c r="M11" s="53" t="s">
        <v>453</v>
      </c>
    </row>
    <row r="12" customFormat="false" ht="30" hidden="false" customHeight="true" outlineLevel="0" collapsed="false">
      <c r="A12" s="52" t="n">
        <v>5</v>
      </c>
      <c r="B12" s="53" t="s">
        <v>454</v>
      </c>
      <c r="C12" s="53" t="s">
        <v>455</v>
      </c>
      <c r="D12" s="55" t="n">
        <v>46391</v>
      </c>
      <c r="E12" s="55" t="n">
        <f aca="false">EventDate-134</f>
        <v>46568</v>
      </c>
      <c r="F12" s="55" t="n">
        <f aca="false">E12+14</f>
        <v>46582</v>
      </c>
      <c r="G12" s="52" t="s">
        <v>157</v>
      </c>
      <c r="H12" s="61" t="n">
        <v>0</v>
      </c>
      <c r="I12" s="52" t="n">
        <f aca="true">IF(E12="","",IF(G12="Done","Done",E12-TODAY()))</f>
        <v>247</v>
      </c>
      <c r="J12" s="61" t="n">
        <f aca="true">IF(OR(D12="",E12=""),"",IF(E12&gt;D12,MAX(0,MIN(1,(TODAY()-D12)/(E12-D12))),IF(TODAY()&gt;=E12,1,0)))</f>
        <v>0</v>
      </c>
      <c r="K12" s="52" t="n">
        <f aca="false">IF(J12="","",ROUND(J12*100-H12*100,0))</f>
        <v>0</v>
      </c>
      <c r="L12" s="62" t="str">
        <f aca="true">IF(OR(D12="",E12=""),"GREY",IF(G12="On hold","GREY",IF(G12="Done","GREEN",IF(E12&lt;TODAY(),"RED",IF(K12&gt;=30,"RED",IF(K12&gt;=15,"AMBER","GREEN"))))))</f>
        <v>GREEN</v>
      </c>
      <c r="M12" s="53" t="s">
        <v>456</v>
      </c>
    </row>
    <row r="13" customFormat="false" ht="30" hidden="false" customHeight="true" outlineLevel="0" collapsed="false">
      <c r="A13" s="52" t="n">
        <v>6</v>
      </c>
      <c r="B13" s="53" t="s">
        <v>457</v>
      </c>
      <c r="C13" s="53" t="s">
        <v>200</v>
      </c>
      <c r="D13" s="55" t="n">
        <v>46447</v>
      </c>
      <c r="E13" s="55" t="n">
        <f aca="false">EventDate-167</f>
        <v>46535</v>
      </c>
      <c r="F13" s="55" t="n">
        <f aca="false">E13+14</f>
        <v>46549</v>
      </c>
      <c r="G13" s="52" t="s">
        <v>157</v>
      </c>
      <c r="H13" s="61" t="n">
        <v>0</v>
      </c>
      <c r="I13" s="52" t="n">
        <f aca="true">IF(E13="","",IF(G13="Done","Done",E13-TODAY()))</f>
        <v>214</v>
      </c>
      <c r="J13" s="61" t="n">
        <f aca="true">IF(OR(D13="",E13=""),"",IF(E13&gt;D13,MAX(0,MIN(1,(TODAY()-D13)/(E13-D13))),IF(TODAY()&gt;=E13,1,0)))</f>
        <v>0</v>
      </c>
      <c r="K13" s="52" t="n">
        <f aca="false">IF(J13="","",ROUND(J13*100-H13*100,0))</f>
        <v>0</v>
      </c>
      <c r="L13" s="62" t="str">
        <f aca="true">IF(OR(D13="",E13=""),"GREY",IF(G13="On hold","GREY",IF(G13="Done","GREEN",IF(E13&lt;TODAY(),"RED",IF(K13&gt;=30,"RED",IF(K13&gt;=15,"AMBER","GREEN"))))))</f>
        <v>GREEN</v>
      </c>
      <c r="M13" s="53" t="s">
        <v>458</v>
      </c>
    </row>
    <row r="14" customFormat="false" ht="30" hidden="false" customHeight="true" outlineLevel="0" collapsed="false">
      <c r="A14" s="52" t="n">
        <v>7</v>
      </c>
      <c r="B14" s="53" t="s">
        <v>459</v>
      </c>
      <c r="C14" s="53" t="s">
        <v>450</v>
      </c>
      <c r="D14" s="55" t="n">
        <f aca="false">EventDate-220</f>
        <v>46482</v>
      </c>
      <c r="E14" s="55" t="n">
        <f aca="false">EventDate-76</f>
        <v>46626</v>
      </c>
      <c r="F14" s="55" t="n">
        <f aca="false">E14+14</f>
        <v>46640</v>
      </c>
      <c r="G14" s="52" t="s">
        <v>157</v>
      </c>
      <c r="H14" s="61" t="n">
        <v>0</v>
      </c>
      <c r="I14" s="52" t="n">
        <f aca="true">IF(E14="","",IF(G14="Done","Done",E14-TODAY()))</f>
        <v>305</v>
      </c>
      <c r="J14" s="61" t="n">
        <f aca="true">IF(OR(D14="",E14=""),"",IF(E14&gt;D14,MAX(0,MIN(1,(TODAY()-D14)/(E14-D14))),IF(TODAY()&gt;=E14,1,0)))</f>
        <v>0</v>
      </c>
      <c r="K14" s="52" t="n">
        <f aca="false">IF(J14="","",ROUND(J14*100-H14*100,0))</f>
        <v>0</v>
      </c>
      <c r="L14" s="62" t="str">
        <f aca="true">IF(OR(D14="",E14=""),"GREY",IF(G14="On hold","GREY",IF(G14="Done","GREEN",IF(E14&lt;TODAY(),"RED",IF(K14&gt;=30,"RED",IF(K14&gt;=15,"AMBER","GREEN"))))))</f>
        <v>GREEN</v>
      </c>
      <c r="M14" s="53" t="s">
        <v>460</v>
      </c>
    </row>
    <row r="15" customFormat="false" ht="30" hidden="false" customHeight="true" outlineLevel="0" collapsed="false">
      <c r="A15" s="52" t="n">
        <v>8</v>
      </c>
      <c r="B15" s="53" t="s">
        <v>461</v>
      </c>
      <c r="C15" s="53" t="s">
        <v>450</v>
      </c>
      <c r="D15" s="55" t="n">
        <f aca="false">EventDate-163</f>
        <v>46539</v>
      </c>
      <c r="E15" s="55" t="n">
        <f aca="false">EventDate-90</f>
        <v>46612</v>
      </c>
      <c r="F15" s="55" t="n">
        <f aca="false">E15+14</f>
        <v>46626</v>
      </c>
      <c r="G15" s="52" t="s">
        <v>157</v>
      </c>
      <c r="H15" s="61" t="n">
        <v>0</v>
      </c>
      <c r="I15" s="52" t="n">
        <f aca="true">IF(E15="","",IF(G15="Done","Done",E15-TODAY()))</f>
        <v>291</v>
      </c>
      <c r="J15" s="61" t="n">
        <f aca="true">IF(OR(D15="",E15=""),"",IF(E15&gt;D15,MAX(0,MIN(1,(TODAY()-D15)/(E15-D15))),IF(TODAY()&gt;=E15,1,0)))</f>
        <v>0</v>
      </c>
      <c r="K15" s="52" t="n">
        <f aca="false">IF(J15="","",ROUND(J15*100-H15*100,0))</f>
        <v>0</v>
      </c>
      <c r="L15" s="62" t="str">
        <f aca="true">IF(OR(D15="",E15=""),"GREY",IF(G15="On hold","GREY",IF(G15="Done","GREEN",IF(E15&lt;TODAY(),"RED",IF(K15&gt;=30,"RED",IF(K15&gt;=15,"AMBER","GREEN"))))))</f>
        <v>GREEN</v>
      </c>
      <c r="M15" s="53" t="s">
        <v>462</v>
      </c>
    </row>
    <row r="16" customFormat="false" ht="30" hidden="false" customHeight="true" outlineLevel="0" collapsed="false">
      <c r="A16" s="52" t="n">
        <v>9</v>
      </c>
      <c r="B16" s="53" t="s">
        <v>463</v>
      </c>
      <c r="C16" s="53" t="s">
        <v>450</v>
      </c>
      <c r="D16" s="55" t="n">
        <f aca="false">EventDate-163</f>
        <v>46539</v>
      </c>
      <c r="E16" s="55" t="n">
        <f aca="false">EventDate-62</f>
        <v>46640</v>
      </c>
      <c r="F16" s="55" t="n">
        <f aca="false">E16+14</f>
        <v>46654</v>
      </c>
      <c r="G16" s="52" t="s">
        <v>157</v>
      </c>
      <c r="H16" s="61" t="n">
        <v>0</v>
      </c>
      <c r="I16" s="52" t="n">
        <f aca="true">IF(E16="","",IF(G16="Done","Done",E16-TODAY()))</f>
        <v>319</v>
      </c>
      <c r="J16" s="61" t="n">
        <f aca="true">IF(OR(D16="",E16=""),"",IF(E16&gt;D16,MAX(0,MIN(1,(TODAY()-D16)/(E16-D16))),IF(TODAY()&gt;=E16,1,0)))</f>
        <v>0</v>
      </c>
      <c r="K16" s="52" t="n">
        <f aca="false">IF(J16="","",ROUND(J16*100-H16*100,0))</f>
        <v>0</v>
      </c>
      <c r="L16" s="62" t="str">
        <f aca="true">IF(OR(D16="",E16=""),"GREY",IF(G16="On hold","GREY",IF(G16="Done","GREEN",IF(E16&lt;TODAY(),"RED",IF(K16&gt;=30,"RED",IF(K16&gt;=15,"AMBER","GREEN"))))))</f>
        <v>GREEN</v>
      </c>
      <c r="M16" s="53" t="s">
        <v>464</v>
      </c>
    </row>
    <row r="17" customFormat="false" ht="18" hidden="false" customHeight="true" outlineLevel="0" collapsed="false">
      <c r="A17" s="60" t="s">
        <v>179</v>
      </c>
      <c r="B17" s="60"/>
      <c r="C17" s="60"/>
      <c r="D17" s="60"/>
      <c r="E17" s="60"/>
      <c r="F17" s="60"/>
      <c r="G17" s="60"/>
      <c r="H17" s="60"/>
      <c r="I17" s="60"/>
      <c r="J17" s="60"/>
      <c r="K17" s="60"/>
      <c r="L17" s="60"/>
      <c r="M17" s="60"/>
    </row>
    <row r="18" customFormat="false" ht="30" hidden="false" customHeight="true" outlineLevel="0" collapsed="false">
      <c r="A18" s="52" t="n">
        <v>10</v>
      </c>
      <c r="B18" s="53" t="s">
        <v>465</v>
      </c>
      <c r="C18" s="53" t="s">
        <v>455</v>
      </c>
      <c r="D18" s="55" t="n">
        <f aca="false">EventDate-129</f>
        <v>46573</v>
      </c>
      <c r="E18" s="55" t="n">
        <f aca="false">EventDate-76</f>
        <v>46626</v>
      </c>
      <c r="F18" s="55" t="n">
        <f aca="false">E18+14</f>
        <v>46640</v>
      </c>
      <c r="G18" s="52" t="s">
        <v>157</v>
      </c>
      <c r="H18" s="61" t="n">
        <v>0</v>
      </c>
      <c r="I18" s="52" t="n">
        <f aca="true">IF(E18="","",IF(G18="Done","Done",E18-TODAY()))</f>
        <v>305</v>
      </c>
      <c r="J18" s="61" t="n">
        <f aca="true">IF(OR(D18="",E18=""),"",IF(E18&gt;D18,MAX(0,MIN(1,(TODAY()-D18)/(E18-D18))),IF(TODAY()&gt;=E18,1,0)))</f>
        <v>0</v>
      </c>
      <c r="K18" s="52" t="n">
        <f aca="false">IF(J18="","",ROUND(J18*100-H18*100,0))</f>
        <v>0</v>
      </c>
      <c r="L18" s="62" t="str">
        <f aca="true">IF(OR(D18="",E18=""),"GREY",IF(G18="On hold","GREY",IF(G18="Done","GREEN",IF(E18&lt;TODAY(),"RED",IF(K18&gt;=30,"RED",IF(K18&gt;=15,"AMBER","GREEN"))))))</f>
        <v>GREEN</v>
      </c>
      <c r="M18" s="53" t="s">
        <v>466</v>
      </c>
    </row>
    <row r="19" customFormat="false" ht="30" hidden="false" customHeight="true" outlineLevel="0" collapsed="false">
      <c r="A19" s="52" t="n">
        <v>11</v>
      </c>
      <c r="B19" s="53" t="s">
        <v>467</v>
      </c>
      <c r="C19" s="53" t="s">
        <v>455</v>
      </c>
      <c r="D19" s="55" t="n">
        <f aca="false">EventDate-101</f>
        <v>46601</v>
      </c>
      <c r="E19" s="55" t="n">
        <f aca="false">EventDate-48</f>
        <v>46654</v>
      </c>
      <c r="F19" s="55" t="n">
        <f aca="false">E19+14</f>
        <v>46668</v>
      </c>
      <c r="G19" s="52" t="s">
        <v>157</v>
      </c>
      <c r="H19" s="61" t="n">
        <v>0</v>
      </c>
      <c r="I19" s="52" t="n">
        <f aca="true">IF(E19="","",IF(G19="Done","Done",E19-TODAY()))</f>
        <v>333</v>
      </c>
      <c r="J19" s="61" t="n">
        <f aca="true">IF(OR(D19="",E19=""),"",IF(E19&gt;D19,MAX(0,MIN(1,(TODAY()-D19)/(E19-D19))),IF(TODAY()&gt;=E19,1,0)))</f>
        <v>0</v>
      </c>
      <c r="K19" s="52" t="n">
        <f aca="false">IF(J19="","",ROUND(J19*100-H19*100,0))</f>
        <v>0</v>
      </c>
      <c r="L19" s="62" t="str">
        <f aca="true">IF(OR(D19="",E19=""),"GREY",IF(G19="On hold","GREY",IF(G19="Done","GREEN",IF(E19&lt;TODAY(),"RED",IF(K19&gt;=30,"RED",IF(K19&gt;=15,"AMBER","GREEN"))))))</f>
        <v>GREEN</v>
      </c>
      <c r="M19" s="53" t="s">
        <v>468</v>
      </c>
    </row>
    <row r="20" customFormat="false" ht="30" hidden="false" customHeight="true" outlineLevel="0" collapsed="false">
      <c r="A20" s="52" t="n">
        <v>12</v>
      </c>
      <c r="B20" s="53" t="s">
        <v>469</v>
      </c>
      <c r="C20" s="53" t="s">
        <v>450</v>
      </c>
      <c r="D20" s="55" t="n">
        <f aca="false">EventDate-87</f>
        <v>46615</v>
      </c>
      <c r="E20" s="55" t="n">
        <f aca="false">EventDate-48</f>
        <v>46654</v>
      </c>
      <c r="F20" s="55" t="n">
        <f aca="false">E20+14</f>
        <v>46668</v>
      </c>
      <c r="G20" s="52" t="s">
        <v>157</v>
      </c>
      <c r="H20" s="61" t="n">
        <v>0</v>
      </c>
      <c r="I20" s="52" t="n">
        <f aca="true">IF(E20="","",IF(G20="Done","Done",E20-TODAY()))</f>
        <v>333</v>
      </c>
      <c r="J20" s="61" t="n">
        <f aca="true">IF(OR(D20="",E20=""),"",IF(E20&gt;D20,MAX(0,MIN(1,(TODAY()-D20)/(E20-D20))),IF(TODAY()&gt;=E20,1,0)))</f>
        <v>0</v>
      </c>
      <c r="K20" s="52" t="n">
        <f aca="false">IF(J20="","",ROUND(J20*100-H20*100,0))</f>
        <v>0</v>
      </c>
      <c r="L20" s="62" t="str">
        <f aca="true">IF(OR(D20="",E20=""),"GREY",IF(G20="On hold","GREY",IF(G20="Done","GREEN",IF(E20&lt;TODAY(),"RED",IF(K20&gt;=30,"RED",IF(K20&gt;=15,"AMBER","GREEN"))))))</f>
        <v>GREEN</v>
      </c>
      <c r="M20" s="53" t="s">
        <v>364</v>
      </c>
    </row>
    <row r="21" customFormat="false" ht="30" hidden="false" customHeight="true" outlineLevel="0" collapsed="false">
      <c r="A21" s="52" t="n">
        <v>13</v>
      </c>
      <c r="B21" s="53" t="s">
        <v>470</v>
      </c>
      <c r="C21" s="53" t="s">
        <v>450</v>
      </c>
      <c r="D21" s="55" t="n">
        <f aca="false">EventDate-45</f>
        <v>46657</v>
      </c>
      <c r="E21" s="55" t="n">
        <f aca="false">EventDate-42</f>
        <v>46660</v>
      </c>
      <c r="F21" s="55" t="n">
        <f aca="false">E21+14</f>
        <v>46674</v>
      </c>
      <c r="G21" s="52" t="s">
        <v>157</v>
      </c>
      <c r="H21" s="61" t="n">
        <v>0</v>
      </c>
      <c r="I21" s="52" t="n">
        <f aca="true">IF(E21="","",IF(G21="Done","Done",E21-TODAY()))</f>
        <v>339</v>
      </c>
      <c r="J21" s="61" t="n">
        <f aca="true">IF(OR(D21="",E21=""),"",IF(E21&gt;D21,MAX(0,MIN(1,(TODAY()-D21)/(E21-D21))),IF(TODAY()&gt;=E21,1,0)))</f>
        <v>0</v>
      </c>
      <c r="K21" s="52" t="n">
        <f aca="false">IF(J21="","",ROUND(J21*100-H21*100,0))</f>
        <v>0</v>
      </c>
      <c r="L21" s="62" t="str">
        <f aca="true">IF(OR(D21="",E21=""),"GREY",IF(G21="On hold","GREY",IF(G21="Done","GREEN",IF(E21&lt;TODAY(),"RED",IF(K21&gt;=30,"RED",IF(K21&gt;=15,"AMBER","GREEN"))))))</f>
        <v>GREEN</v>
      </c>
      <c r="M21" s="53" t="s">
        <v>237</v>
      </c>
    </row>
    <row r="22" customFormat="false" ht="18" hidden="false" customHeight="true" outlineLevel="0" collapsed="false">
      <c r="A22" s="63" t="s">
        <v>185</v>
      </c>
      <c r="B22" s="63"/>
      <c r="C22" s="63"/>
      <c r="D22" s="63"/>
      <c r="E22" s="63"/>
      <c r="F22" s="63"/>
      <c r="G22" s="63"/>
      <c r="H22" s="63"/>
      <c r="I22" s="63"/>
      <c r="J22" s="63"/>
      <c r="K22" s="63"/>
      <c r="L22" s="63"/>
      <c r="M22" s="63"/>
    </row>
    <row r="23" customFormat="false" ht="30" hidden="false" customHeight="true" outlineLevel="0" collapsed="false">
      <c r="A23" s="64" t="n">
        <v>14</v>
      </c>
      <c r="B23" s="65" t="s">
        <v>471</v>
      </c>
      <c r="C23" s="65" t="s">
        <v>455</v>
      </c>
      <c r="D23" s="66" t="n">
        <f aca="false">EventDate-24</f>
        <v>46678</v>
      </c>
      <c r="E23" s="66" t="n">
        <f aca="false">EventDate-13</f>
        <v>46689</v>
      </c>
      <c r="F23" s="66" t="n">
        <f aca="false">E23</f>
        <v>46689</v>
      </c>
      <c r="G23" s="64" t="s">
        <v>157</v>
      </c>
      <c r="H23" s="67" t="n">
        <v>0</v>
      </c>
      <c r="I23" s="64" t="n">
        <f aca="true">IF(E23="","",IF(G23="Done","Done",E23-TODAY()))</f>
        <v>368</v>
      </c>
      <c r="J23" s="67" t="n">
        <f aca="true">IF(OR(D23="",E23=""),"",IF(E23&gt;D23,MAX(0,MIN(1,(TODAY()-D23)/(E23-D23))),IF(TODAY()&gt;=E23,1,0)))</f>
        <v>0</v>
      </c>
      <c r="K23" s="64" t="n">
        <f aca="false">IF(J23="","",ROUND(J23*100-H23*100,0))</f>
        <v>0</v>
      </c>
      <c r="L23" s="68" t="str">
        <f aca="true">IF(OR(D23="",E23=""),"GREY",IF(G23="On hold","GREY",IF(G23="Done","GREEN",IF(E23&lt;TODAY(),"RED",IF(K23&gt;=30,"RED",IF(K23&gt;=15,"AMBER","GREEN"))))))</f>
        <v>GREEN</v>
      </c>
      <c r="M23" s="65" t="s">
        <v>328</v>
      </c>
    </row>
    <row r="24" customFormat="false" ht="30" hidden="false" customHeight="true" outlineLevel="0" collapsed="false">
      <c r="A24" s="64" t="n">
        <v>15</v>
      </c>
      <c r="B24" s="65" t="s">
        <v>472</v>
      </c>
      <c r="C24" s="65" t="s">
        <v>450</v>
      </c>
      <c r="D24" s="66" t="n">
        <f aca="false">EventDate-17</f>
        <v>46685</v>
      </c>
      <c r="E24" s="66" t="n">
        <f aca="false">EventDate-6</f>
        <v>46696</v>
      </c>
      <c r="F24" s="66" t="n">
        <f aca="false">E24</f>
        <v>46696</v>
      </c>
      <c r="G24" s="64" t="s">
        <v>157</v>
      </c>
      <c r="H24" s="67" t="n">
        <v>0</v>
      </c>
      <c r="I24" s="64" t="n">
        <f aca="true">IF(E24="","",IF(G24="Done","Done",E24-TODAY()))</f>
        <v>375</v>
      </c>
      <c r="J24" s="67" t="n">
        <f aca="true">IF(OR(D24="",E24=""),"",IF(E24&gt;D24,MAX(0,MIN(1,(TODAY()-D24)/(E24-D24))),IF(TODAY()&gt;=E24,1,0)))</f>
        <v>0</v>
      </c>
      <c r="K24" s="64" t="n">
        <f aca="false">IF(J24="","",ROUND(J24*100-H24*100,0))</f>
        <v>0</v>
      </c>
      <c r="L24" s="68" t="str">
        <f aca="true">IF(OR(D24="",E24=""),"GREY",IF(G24="On hold","GREY",IF(G24="Done","GREEN",IF(E24&lt;TODAY(),"RED",IF(K24&gt;=30,"RED",IF(K24&gt;=15,"AMBER","GREEN"))))))</f>
        <v>GREEN</v>
      </c>
      <c r="M24" s="65" t="s">
        <v>473</v>
      </c>
    </row>
    <row r="25" customFormat="false" ht="18" hidden="false" customHeight="true" outlineLevel="0" collapsed="false">
      <c r="A25" s="60" t="s">
        <v>190</v>
      </c>
      <c r="B25" s="60"/>
      <c r="C25" s="60"/>
      <c r="D25" s="60"/>
      <c r="E25" s="60"/>
      <c r="F25" s="60"/>
      <c r="G25" s="60"/>
      <c r="H25" s="60"/>
      <c r="I25" s="60"/>
      <c r="J25" s="60"/>
      <c r="K25" s="60"/>
      <c r="L25" s="60"/>
      <c r="M25" s="60"/>
    </row>
    <row r="26" customFormat="false" ht="30" hidden="false" customHeight="true" outlineLevel="0" collapsed="false">
      <c r="A26" s="52" t="n">
        <v>16</v>
      </c>
      <c r="B26" s="53" t="s">
        <v>474</v>
      </c>
      <c r="C26" s="53" t="s">
        <v>455</v>
      </c>
      <c r="D26" s="55" t="n">
        <f aca="false">EventDate+4</f>
        <v>46706</v>
      </c>
      <c r="E26" s="55" t="n">
        <f aca="false">EventDate+29</f>
        <v>46731</v>
      </c>
      <c r="F26" s="55" t="n">
        <f aca="false">E26+14</f>
        <v>46745</v>
      </c>
      <c r="G26" s="52" t="s">
        <v>157</v>
      </c>
      <c r="H26" s="61" t="n">
        <v>0</v>
      </c>
      <c r="I26" s="52" t="n">
        <f aca="true">IF(E26="","",IF(G26="Done","Done",E26-TODAY()))</f>
        <v>410</v>
      </c>
      <c r="J26" s="61" t="n">
        <f aca="true">IF(OR(D26="",E26=""),"",IF(E26&gt;D26,MAX(0,MIN(1,(TODAY()-D26)/(E26-D26))),IF(TODAY()&gt;=E26,1,0)))</f>
        <v>0</v>
      </c>
      <c r="K26" s="52" t="n">
        <f aca="false">IF(J26="","",ROUND(J26*100-H26*100,0))</f>
        <v>0</v>
      </c>
      <c r="L26" s="62" t="str">
        <f aca="true">IF(OR(D26="",E26=""),"GREY",IF(G26="On hold","GREY",IF(G26="Done","GREEN",IF(E26&lt;TODAY(),"RED",IF(K26&gt;=30,"RED",IF(K26&gt;=15,"AMBER","GREEN"))))))</f>
        <v>GREEN</v>
      </c>
      <c r="M26" s="53" t="s">
        <v>273</v>
      </c>
    </row>
    <row r="27" customFormat="false" ht="30" hidden="false" customHeight="true" outlineLevel="0" collapsed="false">
      <c r="A27" s="52" t="n">
        <v>17</v>
      </c>
      <c r="B27" s="53" t="s">
        <v>475</v>
      </c>
      <c r="C27" s="53" t="s">
        <v>450</v>
      </c>
      <c r="D27" s="55" t="n">
        <f aca="false">EventDate+20</f>
        <v>46722</v>
      </c>
      <c r="E27" s="55" t="n">
        <f aca="false">EventDate+36</f>
        <v>46738</v>
      </c>
      <c r="F27" s="55" t="n">
        <f aca="false">E27+14</f>
        <v>46752</v>
      </c>
      <c r="G27" s="52" t="s">
        <v>157</v>
      </c>
      <c r="H27" s="61" t="n">
        <v>0</v>
      </c>
      <c r="I27" s="52" t="n">
        <f aca="true">IF(E27="","",IF(G27="Done","Done",E27-TODAY()))</f>
        <v>417</v>
      </c>
      <c r="J27" s="61" t="n">
        <f aca="true">IF(OR(D27="",E27=""),"",IF(E27&gt;D27,MAX(0,MIN(1,(TODAY()-D27)/(E27-D27))),IF(TODAY()&gt;=E27,1,0)))</f>
        <v>0</v>
      </c>
      <c r="K27" s="52" t="n">
        <f aca="false">IF(J27="","",ROUND(J27*100-H27*100,0))</f>
        <v>0</v>
      </c>
      <c r="L27" s="62" t="str">
        <f aca="true">IF(OR(D27="",E27=""),"GREY",IF(G27="On hold","GREY",IF(G27="Done","GREEN",IF(E27&lt;TODAY(),"RED",IF(K27&gt;=30,"RED",IF(K27&gt;=15,"AMBER","GREEN"))))))</f>
        <v>GREEN</v>
      </c>
      <c r="M27" s="53" t="s">
        <v>273</v>
      </c>
    </row>
  </sheetData>
  <mergeCells count="9">
    <mergeCell ref="A1:M1"/>
    <mergeCell ref="A2:M2"/>
    <mergeCell ref="A3:C3"/>
    <mergeCell ref="A4:M4"/>
    <mergeCell ref="A6:M6"/>
    <mergeCell ref="A10:M10"/>
    <mergeCell ref="A17:M17"/>
    <mergeCell ref="A22:M22"/>
    <mergeCell ref="A25:M25"/>
  </mergeCells>
  <conditionalFormatting sqref="L6:L27">
    <cfRule type="cellIs" priority="2" operator="equal" aboveAverage="0" equalAverage="0" bottom="0" percent="0" rank="0" text="" dxfId="0">
      <formula>"RED"</formula>
    </cfRule>
    <cfRule type="cellIs" priority="3" operator="equal" aboveAverage="0" equalAverage="0" bottom="0" percent="0" rank="0" text="" dxfId="8">
      <formula>"AMBER"</formula>
    </cfRule>
    <cfRule type="cellIs" priority="4" operator="equal" aboveAverage="0" equalAverage="0" bottom="0" percent="0" rank="0" text="" dxfId="9">
      <formula>"GREEN"</formula>
    </cfRule>
    <cfRule type="cellIs" priority="5" operator="equal" aboveAverage="0" equalAverage="0" bottom="0" percent="0" rank="0" text="" dxfId="10">
      <formula>"GREY"</formula>
    </cfRule>
  </conditionalFormatting>
  <conditionalFormatting sqref="G6:G27">
    <cfRule type="cellIs" priority="6" operator="equal" aboveAverage="0" equalAverage="0" bottom="0" percent="0" rank="0" text="" dxfId="3">
      <formula>"Done"</formula>
    </cfRule>
    <cfRule type="cellIs" priority="7" operator="equal" aboveAverage="0" equalAverage="0" bottom="0" percent="0" rank="0" text="" dxfId="11">
      <formula>"In progress"</formula>
    </cfRule>
    <cfRule type="cellIs" priority="8" operator="equal" aboveAverage="0" equalAverage="0" bottom="0" percent="0" rank="0" text="" dxfId="5">
      <formula>"Blocked"</formula>
    </cfRule>
    <cfRule type="cellIs" priority="9" operator="equal" aboveAverage="0" equalAverage="0" bottom="0" percent="0" rank="0" text="" dxfId="12">
      <formula>"On hold"</formula>
    </cfRule>
  </conditionalFormatting>
  <conditionalFormatting sqref="H6:H27">
    <cfRule type="colorScale" priority="10">
      <colorScale>
        <cfvo type="num" val="0"/>
        <cfvo type="num" val="1"/>
        <color rgb="FFFFFFFF"/>
        <color rgb="FFA9D08E"/>
      </colorScale>
    </cfRule>
  </conditionalFormatting>
  <conditionalFormatting sqref="M3">
    <cfRule type="expression" priority="11" aboveAverage="0" equalAverage="0" bottom="0" percent="0" rank="0" text="" dxfId="3">
      <formula>$I$3+$K$3=0</formula>
    </cfRule>
    <cfRule type="expression" priority="12" aboveAverage="0" equalAverage="0" bottom="0" percent="0" rank="0" text="" dxfId="5">
      <formula>$I$3+$K$3&gt;0</formula>
    </cfRule>
  </conditionalFormatting>
  <dataValidations count="2">
    <dataValidation allowBlank="false" error="Enter a value between 0% and 100%." errorStyle="stop" errorTitle="Progress" operator="between" showDropDown="false" showErrorMessage="false" showInputMessage="false" sqref="H6:H27" type="decimal">
      <formula1>0</formula1>
      <formula2>1</formula2>
    </dataValidation>
    <dataValidation allowBlank="false" errorStyle="stop" operator="between" showDropDown="false" showErrorMessage="false" showInputMessage="false" sqref="G6:G27" type="list">
      <formula1>"Not started,In progress,Done,Blocked,On hold"</formula1>
      <formula2>0</formula2>
    </dataValidation>
  </dataValidations>
  <printOptions headings="false" gridLines="false" gridLinesSet="true" horizontalCentered="false" verticalCentered="false"/>
  <pageMargins left="0.4" right="0.4" top="0.5" bottom="0.5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&amp;A  -  page &amp;P of &amp;N  -  PROPOSED date, subject to sponsor approval</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43C0C"/>
    <pageSetUpPr fitToPage="true"/>
  </sheetPr>
  <dimension ref="A1:M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22"/>
    <col collapsed="false" customWidth="true" hidden="false" outlineLevel="0" max="4" min="4" style="0" width="12"/>
    <col collapsed="false" customWidth="true" hidden="false" outlineLevel="0" max="5" min="5" style="0" width="13"/>
    <col collapsed="false" customWidth="true" hidden="false" outlineLevel="0" max="7" min="6" style="0" width="12"/>
    <col collapsed="false" customWidth="true" hidden="false" outlineLevel="0" max="8" min="8" style="0" width="10"/>
    <col collapsed="false" customWidth="true" hidden="false" outlineLevel="0" max="10" min="9" style="0" width="8"/>
    <col collapsed="false" customWidth="true" hidden="false" outlineLevel="0" max="12" min="11" style="0" width="9"/>
    <col collapsed="false" customWidth="true" hidden="false" outlineLevel="0" max="13" min="13" style="0" width="62"/>
  </cols>
  <sheetData>
    <row r="1" customFormat="false" ht="27.75" hidden="false" customHeight="true" outlineLevel="0" collapsed="false">
      <c r="A1" s="42" t="s">
        <v>476</v>
      </c>
      <c r="B1" s="42"/>
      <c r="C1" s="42"/>
      <c r="D1" s="42"/>
      <c r="E1" s="42"/>
      <c r="F1" s="42"/>
      <c r="G1" s="42"/>
      <c r="H1" s="42"/>
      <c r="I1" s="42"/>
      <c r="J1" s="42"/>
      <c r="K1" s="42"/>
      <c r="L1" s="42"/>
      <c r="M1" s="42"/>
    </row>
    <row r="2" customFormat="false" ht="19.5" hidden="false" customHeight="true" outlineLevel="0" collapsed="false">
      <c r="A2" s="43" t="s">
        <v>86</v>
      </c>
      <c r="B2" s="43"/>
      <c r="C2" s="43"/>
      <c r="D2" s="43"/>
      <c r="E2" s="43"/>
      <c r="F2" s="43"/>
      <c r="G2" s="43"/>
      <c r="H2" s="43"/>
      <c r="I2" s="43"/>
      <c r="J2" s="43"/>
      <c r="K2" s="43"/>
      <c r="L2" s="43"/>
      <c r="M2" s="43"/>
    </row>
    <row r="3" customFormat="false" ht="19.5" hidden="false" customHeight="true" outlineLevel="0" collapsed="false">
      <c r="A3" s="56" t="s">
        <v>477</v>
      </c>
      <c r="B3" s="56"/>
      <c r="C3" s="56"/>
      <c r="D3" s="57" t="s">
        <v>16</v>
      </c>
      <c r="E3" s="57" t="n">
        <f aca="false">COUNT(A6:A31)</f>
        <v>21</v>
      </c>
      <c r="F3" s="57" t="s">
        <v>17</v>
      </c>
      <c r="G3" s="57" t="n">
        <f aca="false">COUNTIF(G6:G31,"Done")</f>
        <v>0</v>
      </c>
      <c r="H3" s="57" t="s">
        <v>19</v>
      </c>
      <c r="I3" s="57" t="n">
        <f aca="false">COUNTIF(L6:L31,"RED")</f>
        <v>0</v>
      </c>
      <c r="J3" s="57" t="s">
        <v>20</v>
      </c>
      <c r="K3" s="57" t="n">
        <f aca="false">COUNTIF(L6:L31,"AMBER")</f>
        <v>0</v>
      </c>
      <c r="L3" s="57" t="s">
        <v>141</v>
      </c>
      <c r="M3" s="58" t="str">
        <f aca="false" t="array" ref="M3:M3">IF(I3+K3=0,"Nothing behind schedule",_xlfn.TEXTJOIN(", ",TRUE(),IF((L6:L31="RED")+(L6:L31="AMBER"),"#"&amp;A6:A31,"")))</f>
        <v>Nothing behind schedule</v>
      </c>
    </row>
    <row r="4" customFormat="false" ht="25.5" hidden="false" customHeight="true" outlineLevel="0" collapsed="false">
      <c r="A4" s="59" t="s">
        <v>142</v>
      </c>
      <c r="B4" s="59"/>
      <c r="C4" s="59"/>
      <c r="D4" s="59"/>
      <c r="E4" s="59"/>
      <c r="F4" s="59"/>
      <c r="G4" s="59"/>
      <c r="H4" s="59"/>
      <c r="I4" s="59"/>
      <c r="J4" s="59"/>
      <c r="K4" s="59"/>
      <c r="L4" s="59"/>
      <c r="M4" s="59"/>
    </row>
    <row r="5" customFormat="false" ht="31.5" hidden="false" customHeight="true" outlineLevel="0" collapsed="false">
      <c r="A5" s="10" t="s">
        <v>143</v>
      </c>
      <c r="B5" s="10" t="s">
        <v>144</v>
      </c>
      <c r="C5" s="10" t="s">
        <v>145</v>
      </c>
      <c r="D5" s="10" t="s">
        <v>146</v>
      </c>
      <c r="E5" s="10" t="s">
        <v>147</v>
      </c>
      <c r="F5" s="10" t="s">
        <v>148</v>
      </c>
      <c r="G5" s="10" t="s">
        <v>23</v>
      </c>
      <c r="H5" s="10" t="s">
        <v>149</v>
      </c>
      <c r="I5" s="10" t="s">
        <v>150</v>
      </c>
      <c r="J5" s="10" t="s">
        <v>151</v>
      </c>
      <c r="K5" s="10" t="s">
        <v>152</v>
      </c>
      <c r="L5" s="10" t="s">
        <v>153</v>
      </c>
      <c r="M5" s="10" t="s">
        <v>154</v>
      </c>
    </row>
    <row r="6" customFormat="false" ht="18" hidden="false" customHeight="true" outlineLevel="0" collapsed="false">
      <c r="A6" s="60" t="s">
        <v>155</v>
      </c>
      <c r="B6" s="60"/>
      <c r="C6" s="60"/>
      <c r="D6" s="60"/>
      <c r="E6" s="60"/>
      <c r="F6" s="60"/>
      <c r="G6" s="60"/>
      <c r="H6" s="60"/>
      <c r="I6" s="60"/>
      <c r="J6" s="60"/>
      <c r="K6" s="60"/>
      <c r="L6" s="60"/>
      <c r="M6" s="60"/>
    </row>
    <row r="7" customFormat="false" ht="30" hidden="false" customHeight="true" outlineLevel="0" collapsed="false">
      <c r="A7" s="52" t="n">
        <v>1</v>
      </c>
      <c r="B7" s="53" t="s">
        <v>478</v>
      </c>
      <c r="C7" s="53" t="s">
        <v>38</v>
      </c>
      <c r="D7" s="55" t="n">
        <v>46321</v>
      </c>
      <c r="E7" s="55" t="n">
        <v>46360</v>
      </c>
      <c r="F7" s="55" t="n">
        <f aca="false">E7+14</f>
        <v>46374</v>
      </c>
      <c r="G7" s="52" t="s">
        <v>157</v>
      </c>
      <c r="H7" s="61" t="n">
        <v>0</v>
      </c>
      <c r="I7" s="52" t="n">
        <f aca="true">IF(E7="","",IF(G7="Done","Done",E7-TODAY()))</f>
        <v>39</v>
      </c>
      <c r="J7" s="61" t="n">
        <f aca="true">IF(OR(D7="",E7=""),"",IF(E7&gt;D7,MAX(0,MIN(1,(TODAY()-D7)/(E7-D7))),IF(TODAY()&gt;=E7,1,0)))</f>
        <v>0</v>
      </c>
      <c r="K7" s="52" t="n">
        <f aca="false">IF(J7="","",ROUND(J7*100-H7*100,0))</f>
        <v>0</v>
      </c>
      <c r="L7" s="62" t="str">
        <f aca="true">IF(OR(D7="",E7=""),"GREY",IF(G7="On hold","GREY",IF(G7="Done","GREEN",IF(E7&lt;TODAY(),"RED",IF(K7&gt;=30,"RED",IF(K7&gt;=15,"AMBER","GREEN"))))))</f>
        <v>GREEN</v>
      </c>
      <c r="M7" s="53" t="s">
        <v>479</v>
      </c>
    </row>
    <row r="8" customFormat="false" ht="30" hidden="false" customHeight="true" outlineLevel="0" collapsed="false">
      <c r="A8" s="52" t="n">
        <v>2</v>
      </c>
      <c r="B8" s="53" t="s">
        <v>480</v>
      </c>
      <c r="C8" s="53" t="s">
        <v>38</v>
      </c>
      <c r="D8" s="55" t="n">
        <v>46321</v>
      </c>
      <c r="E8" s="55" t="n">
        <v>46374</v>
      </c>
      <c r="F8" s="55" t="n">
        <f aca="false">E8+14</f>
        <v>46388</v>
      </c>
      <c r="G8" s="52" t="s">
        <v>157</v>
      </c>
      <c r="H8" s="61" t="n">
        <v>0</v>
      </c>
      <c r="I8" s="52" t="n">
        <f aca="true">IF(E8="","",IF(G8="Done","Done",E8-TODAY()))</f>
        <v>53</v>
      </c>
      <c r="J8" s="61" t="n">
        <f aca="true">IF(OR(D8="",E8=""),"",IF(E8&gt;D8,MAX(0,MIN(1,(TODAY()-D8)/(E8-D8))),IF(TODAY()&gt;=E8,1,0)))</f>
        <v>0</v>
      </c>
      <c r="K8" s="52" t="n">
        <f aca="false">IF(J8="","",ROUND(J8*100-H8*100,0))</f>
        <v>0</v>
      </c>
      <c r="L8" s="62" t="str">
        <f aca="true">IF(OR(D8="",E8=""),"GREY",IF(G8="On hold","GREY",IF(G8="Done","GREEN",IF(E8&lt;TODAY(),"RED",IF(K8&gt;=30,"RED",IF(K8&gt;=15,"AMBER","GREEN"))))))</f>
        <v>GREEN</v>
      </c>
      <c r="M8" s="53" t="s">
        <v>481</v>
      </c>
    </row>
    <row r="9" customFormat="false" ht="16.5" hidden="false" customHeight="true" outlineLevel="0" collapsed="false">
      <c r="A9" s="52" t="n">
        <v>3</v>
      </c>
      <c r="B9" s="53" t="s">
        <v>482</v>
      </c>
      <c r="C9" s="53" t="s">
        <v>28</v>
      </c>
      <c r="D9" s="55" t="n">
        <v>46328</v>
      </c>
      <c r="E9" s="55" t="n">
        <v>46353</v>
      </c>
      <c r="F9" s="55" t="n">
        <f aca="false">E9+14</f>
        <v>46367</v>
      </c>
      <c r="G9" s="52" t="s">
        <v>157</v>
      </c>
      <c r="H9" s="61" t="n">
        <v>0</v>
      </c>
      <c r="I9" s="52" t="n">
        <f aca="true">IF(E9="","",IF(G9="Done","Done",E9-TODAY()))</f>
        <v>32</v>
      </c>
      <c r="J9" s="61" t="n">
        <f aca="true">IF(OR(D9="",E9=""),"",IF(E9&gt;D9,MAX(0,MIN(1,(TODAY()-D9)/(E9-D9))),IF(TODAY()&gt;=E9,1,0)))</f>
        <v>0</v>
      </c>
      <c r="K9" s="52" t="n">
        <f aca="false">IF(J9="","",ROUND(J9*100-H9*100,0))</f>
        <v>0</v>
      </c>
      <c r="L9" s="62" t="str">
        <f aca="true">IF(OR(D9="",E9=""),"GREY",IF(G9="On hold","GREY",IF(G9="Done","GREEN",IF(E9&lt;TODAY(),"RED",IF(K9&gt;=30,"RED",IF(K9&gt;=15,"AMBER","GREEN"))))))</f>
        <v>GREEN</v>
      </c>
      <c r="M9" s="53" t="s">
        <v>397</v>
      </c>
    </row>
    <row r="10" customFormat="false" ht="30" hidden="false" customHeight="true" outlineLevel="0" collapsed="false">
      <c r="A10" s="52" t="n">
        <v>4</v>
      </c>
      <c r="B10" s="53" t="s">
        <v>483</v>
      </c>
      <c r="C10" s="53" t="s">
        <v>38</v>
      </c>
      <c r="D10" s="55" t="n">
        <v>46328</v>
      </c>
      <c r="E10" s="55" t="n">
        <v>46353</v>
      </c>
      <c r="F10" s="55" t="n">
        <f aca="false">E10+14</f>
        <v>46367</v>
      </c>
      <c r="G10" s="52" t="s">
        <v>157</v>
      </c>
      <c r="H10" s="61" t="n">
        <v>0</v>
      </c>
      <c r="I10" s="52" t="n">
        <f aca="true">IF(E10="","",IF(G10="Done","Done",E10-TODAY()))</f>
        <v>32</v>
      </c>
      <c r="J10" s="61" t="n">
        <f aca="true">IF(OR(D10="",E10=""),"",IF(E10&gt;D10,MAX(0,MIN(1,(TODAY()-D10)/(E10-D10))),IF(TODAY()&gt;=E10,1,0)))</f>
        <v>0</v>
      </c>
      <c r="K10" s="52" t="n">
        <f aca="false">IF(J10="","",ROUND(J10*100-H10*100,0))</f>
        <v>0</v>
      </c>
      <c r="L10" s="62" t="str">
        <f aca="true">IF(OR(D10="",E10=""),"GREY",IF(G10="On hold","GREY",IF(G10="Done","GREEN",IF(E10&lt;TODAY(),"RED",IF(K10&gt;=30,"RED",IF(K10&gt;=15,"AMBER","GREEN"))))))</f>
        <v>GREEN</v>
      </c>
      <c r="M10" s="53" t="s">
        <v>484</v>
      </c>
    </row>
    <row r="11" customFormat="false" ht="16.5" hidden="false" customHeight="true" outlineLevel="0" collapsed="false">
      <c r="A11" s="52" t="n">
        <v>5</v>
      </c>
      <c r="B11" s="53" t="s">
        <v>485</v>
      </c>
      <c r="C11" s="53" t="s">
        <v>38</v>
      </c>
      <c r="D11" s="55" t="n">
        <v>46356</v>
      </c>
      <c r="E11" s="55" t="n">
        <v>46477</v>
      </c>
      <c r="F11" s="55" t="n">
        <f aca="false">E11+14</f>
        <v>46491</v>
      </c>
      <c r="G11" s="52" t="s">
        <v>157</v>
      </c>
      <c r="H11" s="61" t="n">
        <v>0</v>
      </c>
      <c r="I11" s="52" t="n">
        <f aca="true">IF(E11="","",IF(G11="Done","Done",E11-TODAY()))</f>
        <v>156</v>
      </c>
      <c r="J11" s="61" t="n">
        <f aca="true">IF(OR(D11="",E11=""),"",IF(E11&gt;D11,MAX(0,MIN(1,(TODAY()-D11)/(E11-D11))),IF(TODAY()&gt;=E11,1,0)))</f>
        <v>0</v>
      </c>
      <c r="K11" s="52" t="n">
        <f aca="false">IF(J11="","",ROUND(J11*100-H11*100,0))</f>
        <v>0</v>
      </c>
      <c r="L11" s="62" t="str">
        <f aca="true">IF(OR(D11="",E11=""),"GREY",IF(G11="On hold","GREY",IF(G11="Done","GREEN",IF(E11&lt;TODAY(),"RED",IF(K11&gt;=30,"RED",IF(K11&gt;=15,"AMBER","GREEN"))))))</f>
        <v>GREEN</v>
      </c>
      <c r="M11" s="53" t="s">
        <v>486</v>
      </c>
    </row>
    <row r="12" customFormat="false" ht="30" hidden="false" customHeight="true" outlineLevel="0" collapsed="false">
      <c r="A12" s="52" t="n">
        <v>6</v>
      </c>
      <c r="B12" s="53" t="s">
        <v>487</v>
      </c>
      <c r="C12" s="53" t="s">
        <v>38</v>
      </c>
      <c r="D12" s="55" t="n">
        <v>46356</v>
      </c>
      <c r="E12" s="55" t="n">
        <f aca="false">EventDate-136</f>
        <v>46566</v>
      </c>
      <c r="F12" s="55" t="n">
        <f aca="false">E12+14</f>
        <v>46580</v>
      </c>
      <c r="G12" s="52" t="s">
        <v>157</v>
      </c>
      <c r="H12" s="61" t="n">
        <v>0</v>
      </c>
      <c r="I12" s="52" t="n">
        <f aca="true">IF(E12="","",IF(G12="Done","Done",E12-TODAY()))</f>
        <v>245</v>
      </c>
      <c r="J12" s="61" t="n">
        <f aca="true">IF(OR(D12="",E12=""),"",IF(E12&gt;D12,MAX(0,MIN(1,(TODAY()-D12)/(E12-D12))),IF(TODAY()&gt;=E12,1,0)))</f>
        <v>0</v>
      </c>
      <c r="K12" s="52" t="n">
        <f aca="false">IF(J12="","",ROUND(J12*100-H12*100,0))</f>
        <v>0</v>
      </c>
      <c r="L12" s="62" t="str">
        <f aca="true">IF(OR(D12="",E12=""),"GREY",IF(G12="On hold","GREY",IF(G12="Done","GREEN",IF(E12&lt;TODAY(),"RED",IF(K12&gt;=30,"RED",IF(K12&gt;=15,"AMBER","GREEN"))))))</f>
        <v>GREEN</v>
      </c>
      <c r="M12" s="53" t="s">
        <v>488</v>
      </c>
    </row>
    <row r="13" customFormat="false" ht="18" hidden="false" customHeight="true" outlineLevel="0" collapsed="false">
      <c r="A13" s="60" t="s">
        <v>171</v>
      </c>
      <c r="B13" s="60"/>
      <c r="C13" s="60"/>
      <c r="D13" s="60"/>
      <c r="E13" s="60"/>
      <c r="F13" s="60"/>
      <c r="G13" s="60"/>
      <c r="H13" s="60"/>
      <c r="I13" s="60"/>
      <c r="J13" s="60"/>
      <c r="K13" s="60"/>
      <c r="L13" s="60"/>
      <c r="M13" s="60"/>
    </row>
    <row r="14" customFormat="false" ht="43.5" hidden="false" customHeight="true" outlineLevel="0" collapsed="false">
      <c r="A14" s="52" t="n">
        <v>7</v>
      </c>
      <c r="B14" s="53" t="s">
        <v>489</v>
      </c>
      <c r="C14" s="53" t="s">
        <v>490</v>
      </c>
      <c r="D14" s="55" t="n">
        <v>46398</v>
      </c>
      <c r="E14" s="55" t="n">
        <v>46451</v>
      </c>
      <c r="F14" s="55" t="n">
        <f aca="false">E14+14</f>
        <v>46465</v>
      </c>
      <c r="G14" s="52" t="s">
        <v>157</v>
      </c>
      <c r="H14" s="61" t="n">
        <v>0</v>
      </c>
      <c r="I14" s="52" t="n">
        <f aca="true">IF(E14="","",IF(G14="Done","Done",E14-TODAY()))</f>
        <v>130</v>
      </c>
      <c r="J14" s="61" t="n">
        <f aca="true">IF(OR(D14="",E14=""),"",IF(E14&gt;D14,MAX(0,MIN(1,(TODAY()-D14)/(E14-D14))),IF(TODAY()&gt;=E14,1,0)))</f>
        <v>0</v>
      </c>
      <c r="K14" s="52" t="n">
        <f aca="false">IF(J14="","",ROUND(J14*100-H14*100,0))</f>
        <v>0</v>
      </c>
      <c r="L14" s="62" t="str">
        <f aca="true">IF(OR(D14="",E14=""),"GREY",IF(G14="On hold","GREY",IF(G14="Done","GREEN",IF(E14&lt;TODAY(),"RED",IF(K14&gt;=30,"RED",IF(K14&gt;=15,"AMBER","GREEN"))))))</f>
        <v>GREEN</v>
      </c>
      <c r="M14" s="53" t="s">
        <v>491</v>
      </c>
    </row>
    <row r="15" customFormat="false" ht="30" hidden="false" customHeight="true" outlineLevel="0" collapsed="false">
      <c r="A15" s="52" t="n">
        <v>8</v>
      </c>
      <c r="B15" s="53" t="s">
        <v>492</v>
      </c>
      <c r="C15" s="53" t="s">
        <v>38</v>
      </c>
      <c r="D15" s="55" t="n">
        <v>46398</v>
      </c>
      <c r="E15" s="55" t="n">
        <f aca="false">EventDate-195</f>
        <v>46507</v>
      </c>
      <c r="F15" s="55" t="n">
        <f aca="false">E15+14</f>
        <v>46521</v>
      </c>
      <c r="G15" s="52" t="s">
        <v>157</v>
      </c>
      <c r="H15" s="61" t="n">
        <v>0</v>
      </c>
      <c r="I15" s="52" t="n">
        <f aca="true">IF(E15="","",IF(G15="Done","Done",E15-TODAY()))</f>
        <v>186</v>
      </c>
      <c r="J15" s="61" t="n">
        <f aca="true">IF(OR(D15="",E15=""),"",IF(E15&gt;D15,MAX(0,MIN(1,(TODAY()-D15)/(E15-D15))),IF(TODAY()&gt;=E15,1,0)))</f>
        <v>0</v>
      </c>
      <c r="K15" s="52" t="n">
        <f aca="false">IF(J15="","",ROUND(J15*100-H15*100,0))</f>
        <v>0</v>
      </c>
      <c r="L15" s="62" t="str">
        <f aca="true">IF(OR(D15="",E15=""),"GREY",IF(G15="On hold","GREY",IF(G15="Done","GREEN",IF(E15&lt;TODAY(),"RED",IF(K15&gt;=30,"RED",IF(K15&gt;=15,"AMBER","GREEN"))))))</f>
        <v>GREEN</v>
      </c>
      <c r="M15" s="53" t="s">
        <v>493</v>
      </c>
    </row>
    <row r="16" customFormat="false" ht="30" hidden="false" customHeight="true" outlineLevel="0" collapsed="false">
      <c r="A16" s="52" t="n">
        <v>9</v>
      </c>
      <c r="B16" s="53" t="s">
        <v>494</v>
      </c>
      <c r="C16" s="53" t="s">
        <v>38</v>
      </c>
      <c r="D16" s="55" t="n">
        <v>46419</v>
      </c>
      <c r="E16" s="55" t="n">
        <f aca="false">EventDate-195</f>
        <v>46507</v>
      </c>
      <c r="F16" s="55" t="n">
        <f aca="false">E16+14</f>
        <v>46521</v>
      </c>
      <c r="G16" s="52" t="s">
        <v>157</v>
      </c>
      <c r="H16" s="61" t="n">
        <v>0</v>
      </c>
      <c r="I16" s="52" t="n">
        <f aca="true">IF(E16="","",IF(G16="Done","Done",E16-TODAY()))</f>
        <v>186</v>
      </c>
      <c r="J16" s="61" t="n">
        <f aca="true">IF(OR(D16="",E16=""),"",IF(E16&gt;D16,MAX(0,MIN(1,(TODAY()-D16)/(E16-D16))),IF(TODAY()&gt;=E16,1,0)))</f>
        <v>0</v>
      </c>
      <c r="K16" s="52" t="n">
        <f aca="false">IF(J16="","",ROUND(J16*100-H16*100,0))</f>
        <v>0</v>
      </c>
      <c r="L16" s="62" t="str">
        <f aca="true">IF(OR(D16="",E16=""),"GREY",IF(G16="On hold","GREY",IF(G16="Done","GREEN",IF(E16&lt;TODAY(),"RED",IF(K16&gt;=30,"RED",IF(K16&gt;=15,"AMBER","GREEN"))))))</f>
        <v>GREEN</v>
      </c>
      <c r="M16" s="53" t="s">
        <v>495</v>
      </c>
    </row>
    <row r="17" customFormat="false" ht="30" hidden="false" customHeight="true" outlineLevel="0" collapsed="false">
      <c r="A17" s="52" t="n">
        <v>10</v>
      </c>
      <c r="B17" s="53" t="s">
        <v>496</v>
      </c>
      <c r="C17" s="53" t="s">
        <v>38</v>
      </c>
      <c r="D17" s="55" t="n">
        <f aca="false">EventDate-220</f>
        <v>46482</v>
      </c>
      <c r="E17" s="55" t="n">
        <f aca="false">EventDate-76</f>
        <v>46626</v>
      </c>
      <c r="F17" s="55" t="n">
        <f aca="false">E17+14</f>
        <v>46640</v>
      </c>
      <c r="G17" s="52" t="s">
        <v>157</v>
      </c>
      <c r="H17" s="61" t="n">
        <v>0</v>
      </c>
      <c r="I17" s="52" t="n">
        <f aca="true">IF(E17="","",IF(G17="Done","Done",E17-TODAY()))</f>
        <v>305</v>
      </c>
      <c r="J17" s="61" t="n">
        <f aca="true">IF(OR(D17="",E17=""),"",IF(E17&gt;D17,MAX(0,MIN(1,(TODAY()-D17)/(E17-D17))),IF(TODAY()&gt;=E17,1,0)))</f>
        <v>0</v>
      </c>
      <c r="K17" s="52" t="n">
        <f aca="false">IF(J17="","",ROUND(J17*100-H17*100,0))</f>
        <v>0</v>
      </c>
      <c r="L17" s="62" t="str">
        <f aca="true">IF(OR(D17="",E17=""),"GREY",IF(G17="On hold","GREY",IF(G17="Done","GREEN",IF(E17&lt;TODAY(),"RED",IF(K17&gt;=30,"RED",IF(K17&gt;=15,"AMBER","GREEN"))))))</f>
        <v>GREEN</v>
      </c>
      <c r="M17" s="53" t="s">
        <v>273</v>
      </c>
    </row>
    <row r="18" customFormat="false" ht="16.5" hidden="false" customHeight="true" outlineLevel="0" collapsed="false">
      <c r="A18" s="52" t="n">
        <v>11</v>
      </c>
      <c r="B18" s="53" t="s">
        <v>497</v>
      </c>
      <c r="C18" s="53" t="s">
        <v>28</v>
      </c>
      <c r="D18" s="55" t="n">
        <f aca="false">EventDate-192</f>
        <v>46510</v>
      </c>
      <c r="E18" s="55" t="n">
        <f aca="false">EventDate-167</f>
        <v>46535</v>
      </c>
      <c r="F18" s="55" t="n">
        <f aca="false">E18+14</f>
        <v>46549</v>
      </c>
      <c r="G18" s="52" t="s">
        <v>157</v>
      </c>
      <c r="H18" s="61" t="n">
        <v>0</v>
      </c>
      <c r="I18" s="52" t="n">
        <f aca="true">IF(E18="","",IF(G18="Done","Done",E18-TODAY()))</f>
        <v>214</v>
      </c>
      <c r="J18" s="61" t="n">
        <f aca="true">IF(OR(D18="",E18=""),"",IF(E18&gt;D18,MAX(0,MIN(1,(TODAY()-D18)/(E18-D18))),IF(TODAY()&gt;=E18,1,0)))</f>
        <v>0</v>
      </c>
      <c r="K18" s="52" t="n">
        <f aca="false">IF(J18="","",ROUND(J18*100-H18*100,0))</f>
        <v>0</v>
      </c>
      <c r="L18" s="62" t="str">
        <f aca="true">IF(OR(D18="",E18=""),"GREY",IF(G18="On hold","GREY",IF(G18="Done","GREEN",IF(E18&lt;TODAY(),"RED",IF(K18&gt;=30,"RED",IF(K18&gt;=15,"AMBER","GREEN"))))))</f>
        <v>GREEN</v>
      </c>
      <c r="M18" s="53" t="s">
        <v>273</v>
      </c>
    </row>
    <row r="19" customFormat="false" ht="30" hidden="false" customHeight="true" outlineLevel="0" collapsed="false">
      <c r="A19" s="52" t="n">
        <v>12</v>
      </c>
      <c r="B19" s="53" t="s">
        <v>498</v>
      </c>
      <c r="C19" s="53" t="s">
        <v>38</v>
      </c>
      <c r="D19" s="55" t="n">
        <f aca="false">EventDate-150</f>
        <v>46552</v>
      </c>
      <c r="E19" s="55" t="n">
        <f aca="false">EventDate-132</f>
        <v>46570</v>
      </c>
      <c r="F19" s="55" t="n">
        <f aca="false">E19+14</f>
        <v>46584</v>
      </c>
      <c r="G19" s="52" t="s">
        <v>157</v>
      </c>
      <c r="H19" s="61" t="n">
        <v>0</v>
      </c>
      <c r="I19" s="52" t="n">
        <f aca="true">IF(E19="","",IF(G19="Done","Done",E19-TODAY()))</f>
        <v>249</v>
      </c>
      <c r="J19" s="61" t="n">
        <f aca="true">IF(OR(D19="",E19=""),"",IF(E19&gt;D19,MAX(0,MIN(1,(TODAY()-D19)/(E19-D19))),IF(TODAY()&gt;=E19,1,0)))</f>
        <v>0</v>
      </c>
      <c r="K19" s="52" t="n">
        <f aca="false">IF(J19="","",ROUND(J19*100-H19*100,0))</f>
        <v>0</v>
      </c>
      <c r="L19" s="62" t="str">
        <f aca="true">IF(OR(D19="",E19=""),"GREY",IF(G19="On hold","GREY",IF(G19="Done","GREEN",IF(E19&lt;TODAY(),"RED",IF(K19&gt;=30,"RED",IF(K19&gt;=15,"AMBER","GREEN"))))))</f>
        <v>GREEN</v>
      </c>
      <c r="M19" s="53" t="s">
        <v>273</v>
      </c>
    </row>
    <row r="20" customFormat="false" ht="18" hidden="false" customHeight="true" outlineLevel="0" collapsed="false">
      <c r="A20" s="60" t="s">
        <v>179</v>
      </c>
      <c r="B20" s="60"/>
      <c r="C20" s="60"/>
      <c r="D20" s="60"/>
      <c r="E20" s="60"/>
      <c r="F20" s="60"/>
      <c r="G20" s="60"/>
      <c r="H20" s="60"/>
      <c r="I20" s="60"/>
      <c r="J20" s="60"/>
      <c r="K20" s="60"/>
      <c r="L20" s="60"/>
      <c r="M20" s="60"/>
    </row>
    <row r="21" customFormat="false" ht="30" hidden="false" customHeight="true" outlineLevel="0" collapsed="false">
      <c r="A21" s="52" t="n">
        <v>13</v>
      </c>
      <c r="B21" s="53" t="s">
        <v>499</v>
      </c>
      <c r="C21" s="53" t="s">
        <v>38</v>
      </c>
      <c r="D21" s="55" t="n">
        <f aca="false">EventDate-101</f>
        <v>46601</v>
      </c>
      <c r="E21" s="55" t="n">
        <f aca="false">EventDate-48</f>
        <v>46654</v>
      </c>
      <c r="F21" s="55" t="n">
        <f aca="false">E21+14</f>
        <v>46668</v>
      </c>
      <c r="G21" s="52" t="s">
        <v>157</v>
      </c>
      <c r="H21" s="61" t="n">
        <v>0</v>
      </c>
      <c r="I21" s="52" t="n">
        <f aca="true">IF(E21="","",IF(G21="Done","Done",E21-TODAY()))</f>
        <v>333</v>
      </c>
      <c r="J21" s="61" t="n">
        <f aca="true">IF(OR(D21="",E21=""),"",IF(E21&gt;D21,MAX(0,MIN(1,(TODAY()-D21)/(E21-D21))),IF(TODAY()&gt;=E21,1,0)))</f>
        <v>0</v>
      </c>
      <c r="K21" s="52" t="n">
        <f aca="false">IF(J21="","",ROUND(J21*100-H21*100,0))</f>
        <v>0</v>
      </c>
      <c r="L21" s="62" t="str">
        <f aca="true">IF(OR(D21="",E21=""),"GREY",IF(G21="On hold","GREY",IF(G21="Done","GREEN",IF(E21&lt;TODAY(),"RED",IF(K21&gt;=30,"RED",IF(K21&gt;=15,"AMBER","GREEN"))))))</f>
        <v>GREEN</v>
      </c>
      <c r="M21" s="53" t="s">
        <v>500</v>
      </c>
    </row>
    <row r="22" customFormat="false" ht="43.5" hidden="false" customHeight="true" outlineLevel="0" collapsed="false">
      <c r="A22" s="52" t="n">
        <v>14</v>
      </c>
      <c r="B22" s="53" t="s">
        <v>501</v>
      </c>
      <c r="C22" s="53" t="s">
        <v>490</v>
      </c>
      <c r="D22" s="55" t="n">
        <f aca="false">EventDate-73</f>
        <v>46629</v>
      </c>
      <c r="E22" s="55" t="n">
        <f aca="false">EventDate-48</f>
        <v>46654</v>
      </c>
      <c r="F22" s="55" t="n">
        <f aca="false">E22+14</f>
        <v>46668</v>
      </c>
      <c r="G22" s="52" t="s">
        <v>157</v>
      </c>
      <c r="H22" s="61" t="n">
        <v>0</v>
      </c>
      <c r="I22" s="52" t="n">
        <f aca="true">IF(E22="","",IF(G22="Done","Done",E22-TODAY()))</f>
        <v>333</v>
      </c>
      <c r="J22" s="61" t="n">
        <f aca="true">IF(OR(D22="",E22=""),"",IF(E22&gt;D22,MAX(0,MIN(1,(TODAY()-D22)/(E22-D22))),IF(TODAY()&gt;=E22,1,0)))</f>
        <v>0</v>
      </c>
      <c r="K22" s="52" t="n">
        <f aca="false">IF(J22="","",ROUND(J22*100-H22*100,0))</f>
        <v>0</v>
      </c>
      <c r="L22" s="62" t="str">
        <f aca="true">IF(OR(D22="",E22=""),"GREY",IF(G22="On hold","GREY",IF(G22="Done","GREEN",IF(E22&lt;TODAY(),"RED",IF(K22&gt;=30,"RED",IF(K22&gt;=15,"AMBER","GREEN"))))))</f>
        <v>GREEN</v>
      </c>
      <c r="M22" s="53" t="s">
        <v>269</v>
      </c>
    </row>
    <row r="23" customFormat="false" ht="16.5" hidden="false" customHeight="true" outlineLevel="0" collapsed="false">
      <c r="A23" s="52" t="n">
        <v>15</v>
      </c>
      <c r="B23" s="53" t="s">
        <v>502</v>
      </c>
      <c r="C23" s="53" t="s">
        <v>38</v>
      </c>
      <c r="D23" s="55" t="n">
        <f aca="false">EventDate-59</f>
        <v>46643</v>
      </c>
      <c r="E23" s="55" t="n">
        <f aca="false">EventDate-48</f>
        <v>46654</v>
      </c>
      <c r="F23" s="55" t="n">
        <f aca="false">E23+14</f>
        <v>46668</v>
      </c>
      <c r="G23" s="52" t="s">
        <v>157</v>
      </c>
      <c r="H23" s="61" t="n">
        <v>0</v>
      </c>
      <c r="I23" s="52" t="n">
        <f aca="true">IF(E23="","",IF(G23="Done","Done",E23-TODAY()))</f>
        <v>333</v>
      </c>
      <c r="J23" s="61" t="n">
        <f aca="true">IF(OR(D23="",E23=""),"",IF(E23&gt;D23,MAX(0,MIN(1,(TODAY()-D23)/(E23-D23))),IF(TODAY()&gt;=E23,1,0)))</f>
        <v>0</v>
      </c>
      <c r="K23" s="52" t="n">
        <f aca="false">IF(J23="","",ROUND(J23*100-H23*100,0))</f>
        <v>0</v>
      </c>
      <c r="L23" s="62" t="str">
        <f aca="true">IF(OR(D23="",E23=""),"GREY",IF(G23="On hold","GREY",IF(G23="Done","GREEN",IF(E23&lt;TODAY(),"RED",IF(K23&gt;=30,"RED",IF(K23&gt;=15,"AMBER","GREEN"))))))</f>
        <v>GREEN</v>
      </c>
      <c r="M23" s="53" t="s">
        <v>273</v>
      </c>
    </row>
    <row r="24" customFormat="false" ht="16.5" hidden="false" customHeight="true" outlineLevel="0" collapsed="false">
      <c r="A24" s="52" t="n">
        <v>16</v>
      </c>
      <c r="B24" s="53" t="s">
        <v>503</v>
      </c>
      <c r="C24" s="53" t="s">
        <v>38</v>
      </c>
      <c r="D24" s="55" t="n">
        <f aca="false">EventDate-45</f>
        <v>46657</v>
      </c>
      <c r="E24" s="55" t="n">
        <f aca="false">EventDate-42</f>
        <v>46660</v>
      </c>
      <c r="F24" s="55" t="n">
        <f aca="false">E24+14</f>
        <v>46674</v>
      </c>
      <c r="G24" s="52" t="s">
        <v>157</v>
      </c>
      <c r="H24" s="61" t="n">
        <v>0</v>
      </c>
      <c r="I24" s="52" t="n">
        <f aca="true">IF(E24="","",IF(G24="Done","Done",E24-TODAY()))</f>
        <v>339</v>
      </c>
      <c r="J24" s="61" t="n">
        <f aca="true">IF(OR(D24="",E24=""),"",IF(E24&gt;D24,MAX(0,MIN(1,(TODAY()-D24)/(E24-D24))),IF(TODAY()&gt;=E24,1,0)))</f>
        <v>0</v>
      </c>
      <c r="K24" s="52" t="n">
        <f aca="false">IF(J24="","",ROUND(J24*100-H24*100,0))</f>
        <v>0</v>
      </c>
      <c r="L24" s="62" t="str">
        <f aca="true">IF(OR(D24="",E24=""),"GREY",IF(G24="On hold","GREY",IF(G24="Done","GREEN",IF(E24&lt;TODAY(),"RED",IF(K24&gt;=30,"RED",IF(K24&gt;=15,"AMBER","GREEN"))))))</f>
        <v>GREEN</v>
      </c>
      <c r="M24" s="53" t="s">
        <v>237</v>
      </c>
    </row>
    <row r="25" customFormat="false" ht="18" hidden="false" customHeight="true" outlineLevel="0" collapsed="false">
      <c r="A25" s="63" t="s">
        <v>185</v>
      </c>
      <c r="B25" s="63"/>
      <c r="C25" s="63"/>
      <c r="D25" s="63"/>
      <c r="E25" s="63"/>
      <c r="F25" s="63"/>
      <c r="G25" s="63"/>
      <c r="H25" s="63"/>
      <c r="I25" s="63"/>
      <c r="J25" s="63"/>
      <c r="K25" s="63"/>
      <c r="L25" s="63"/>
      <c r="M25" s="63"/>
    </row>
    <row r="26" customFormat="false" ht="30" hidden="false" customHeight="true" outlineLevel="0" collapsed="false">
      <c r="A26" s="64" t="n">
        <v>17</v>
      </c>
      <c r="B26" s="65" t="s">
        <v>504</v>
      </c>
      <c r="C26" s="65" t="s">
        <v>38</v>
      </c>
      <c r="D26" s="66" t="n">
        <f aca="false">EventDate-24</f>
        <v>46678</v>
      </c>
      <c r="E26" s="66" t="n">
        <f aca="false">EventDate-13</f>
        <v>46689</v>
      </c>
      <c r="F26" s="66" t="n">
        <f aca="false">E26</f>
        <v>46689</v>
      </c>
      <c r="G26" s="64" t="s">
        <v>157</v>
      </c>
      <c r="H26" s="67" t="n">
        <v>0</v>
      </c>
      <c r="I26" s="64" t="n">
        <f aca="true">IF(E26="","",IF(G26="Done","Done",E26-TODAY()))</f>
        <v>368</v>
      </c>
      <c r="J26" s="67" t="n">
        <f aca="true">IF(OR(D26="",E26=""),"",IF(E26&gt;D26,MAX(0,MIN(1,(TODAY()-D26)/(E26-D26))),IF(TODAY()&gt;=E26,1,0)))</f>
        <v>0</v>
      </c>
      <c r="K26" s="64" t="n">
        <f aca="false">IF(J26="","",ROUND(J26*100-H26*100,0))</f>
        <v>0</v>
      </c>
      <c r="L26" s="68" t="str">
        <f aca="true">IF(OR(D26="",E26=""),"GREY",IF(G26="On hold","GREY",IF(G26="Done","GREEN",IF(E26&lt;TODAY(),"RED",IF(K26&gt;=30,"RED",IF(K26&gt;=15,"AMBER","GREEN"))))))</f>
        <v>GREEN</v>
      </c>
      <c r="M26" s="65" t="s">
        <v>189</v>
      </c>
    </row>
    <row r="27" customFormat="false" ht="30" hidden="false" customHeight="true" outlineLevel="0" collapsed="false">
      <c r="A27" s="64" t="n">
        <v>18</v>
      </c>
      <c r="B27" s="65" t="s">
        <v>505</v>
      </c>
      <c r="C27" s="65" t="s">
        <v>38</v>
      </c>
      <c r="D27" s="66" t="n">
        <f aca="false">EventDate-10</f>
        <v>46692</v>
      </c>
      <c r="E27" s="66" t="n">
        <f aca="false">EventDate-3</f>
        <v>46699</v>
      </c>
      <c r="F27" s="66" t="n">
        <f aca="false">E27</f>
        <v>46699</v>
      </c>
      <c r="G27" s="64" t="s">
        <v>157</v>
      </c>
      <c r="H27" s="67" t="n">
        <v>0</v>
      </c>
      <c r="I27" s="64" t="n">
        <f aca="true">IF(E27="","",IF(G27="Done","Done",E27-TODAY()))</f>
        <v>378</v>
      </c>
      <c r="J27" s="67" t="n">
        <f aca="true">IF(OR(D27="",E27=""),"",IF(E27&gt;D27,MAX(0,MIN(1,(TODAY()-D27)/(E27-D27))),IF(TODAY()&gt;=E27,1,0)))</f>
        <v>0</v>
      </c>
      <c r="K27" s="64" t="n">
        <f aca="false">IF(J27="","",ROUND(J27*100-H27*100,0))</f>
        <v>0</v>
      </c>
      <c r="L27" s="68" t="str">
        <f aca="true">IF(OR(D27="",E27=""),"GREY",IF(G27="On hold","GREY",IF(G27="Done","GREEN",IF(E27&lt;TODAY(),"RED",IF(K27&gt;=30,"RED",IF(K27&gt;=15,"AMBER","GREEN"))))))</f>
        <v>GREEN</v>
      </c>
      <c r="M27" s="65" t="s">
        <v>289</v>
      </c>
    </row>
    <row r="28" customFormat="false" ht="18" hidden="false" customHeight="true" outlineLevel="0" collapsed="false">
      <c r="A28" s="60" t="s">
        <v>190</v>
      </c>
      <c r="B28" s="60"/>
      <c r="C28" s="60"/>
      <c r="D28" s="60"/>
      <c r="E28" s="60"/>
      <c r="F28" s="60"/>
      <c r="G28" s="60"/>
      <c r="H28" s="60"/>
      <c r="I28" s="60"/>
      <c r="J28" s="60"/>
      <c r="K28" s="60"/>
      <c r="L28" s="60"/>
      <c r="M28" s="60"/>
    </row>
    <row r="29" customFormat="false" ht="30" hidden="false" customHeight="true" outlineLevel="0" collapsed="false">
      <c r="A29" s="52" t="n">
        <v>19</v>
      </c>
      <c r="B29" s="53" t="s">
        <v>506</v>
      </c>
      <c r="C29" s="53" t="s">
        <v>38</v>
      </c>
      <c r="D29" s="55" t="n">
        <f aca="false">EventDate+1</f>
        <v>46703</v>
      </c>
      <c r="E29" s="55" t="n">
        <f aca="false">EventDate+29</f>
        <v>46731</v>
      </c>
      <c r="F29" s="55" t="n">
        <f aca="false">E29+14</f>
        <v>46745</v>
      </c>
      <c r="G29" s="52" t="s">
        <v>157</v>
      </c>
      <c r="H29" s="61" t="n">
        <v>0</v>
      </c>
      <c r="I29" s="52" t="n">
        <f aca="true">IF(E29="","",IF(G29="Done","Done",E29-TODAY()))</f>
        <v>410</v>
      </c>
      <c r="J29" s="61" t="n">
        <f aca="true">IF(OR(D29="",E29=""),"",IF(E29&gt;D29,MAX(0,MIN(1,(TODAY()-D29)/(E29-D29))),IF(TODAY()&gt;=E29,1,0)))</f>
        <v>0</v>
      </c>
      <c r="K29" s="52" t="n">
        <f aca="false">IF(J29="","",ROUND(J29*100-H29*100,0))</f>
        <v>0</v>
      </c>
      <c r="L29" s="62" t="str">
        <f aca="true">IF(OR(D29="",E29=""),"GREY",IF(G29="On hold","GREY",IF(G29="Done","GREEN",IF(E29&lt;TODAY(),"RED",IF(K29&gt;=30,"RED",IF(K29&gt;=15,"AMBER","GREEN"))))))</f>
        <v>GREEN</v>
      </c>
      <c r="M29" s="53" t="s">
        <v>273</v>
      </c>
    </row>
    <row r="30" customFormat="false" ht="16.5" hidden="false" customHeight="true" outlineLevel="0" collapsed="false">
      <c r="A30" s="52" t="n">
        <v>20</v>
      </c>
      <c r="B30" s="53" t="s">
        <v>507</v>
      </c>
      <c r="C30" s="53" t="s">
        <v>38</v>
      </c>
      <c r="D30" s="55" t="n">
        <f aca="false">EventDate+11</f>
        <v>46713</v>
      </c>
      <c r="E30" s="55" t="n">
        <f aca="false">EventDate+57</f>
        <v>46759</v>
      </c>
      <c r="F30" s="55" t="n">
        <f aca="false">E30+14</f>
        <v>46773</v>
      </c>
      <c r="G30" s="52" t="s">
        <v>157</v>
      </c>
      <c r="H30" s="61" t="n">
        <v>0</v>
      </c>
      <c r="I30" s="52" t="n">
        <f aca="true">IF(E30="","",IF(G30="Done","Done",E30-TODAY()))</f>
        <v>438</v>
      </c>
      <c r="J30" s="61" t="n">
        <f aca="true">IF(OR(D30="",E30=""),"",IF(E30&gt;D30,MAX(0,MIN(1,(TODAY()-D30)/(E30-D30))),IF(TODAY()&gt;=E30,1,0)))</f>
        <v>0</v>
      </c>
      <c r="K30" s="52" t="n">
        <f aca="false">IF(J30="","",ROUND(J30*100-H30*100,0))</f>
        <v>0</v>
      </c>
      <c r="L30" s="62" t="str">
        <f aca="true">IF(OR(D30="",E30=""),"GREY",IF(G30="On hold","GREY",IF(G30="Done","GREEN",IF(E30&lt;TODAY(),"RED",IF(K30&gt;=30,"RED",IF(K30&gt;=15,"AMBER","GREEN"))))))</f>
        <v>GREEN</v>
      </c>
      <c r="M30" s="53" t="s">
        <v>508</v>
      </c>
    </row>
    <row r="31" customFormat="false" ht="16.5" hidden="false" customHeight="true" outlineLevel="0" collapsed="false">
      <c r="A31" s="52" t="n">
        <v>21</v>
      </c>
      <c r="B31" s="53" t="s">
        <v>509</v>
      </c>
      <c r="C31" s="53" t="s">
        <v>38</v>
      </c>
      <c r="D31" s="55" t="n">
        <f aca="false">EventDate+32</f>
        <v>46734</v>
      </c>
      <c r="E31" s="55" t="n">
        <f aca="false">EventDate+57</f>
        <v>46759</v>
      </c>
      <c r="F31" s="55" t="n">
        <f aca="false">E31+14</f>
        <v>46773</v>
      </c>
      <c r="G31" s="52" t="s">
        <v>157</v>
      </c>
      <c r="H31" s="61" t="n">
        <v>0</v>
      </c>
      <c r="I31" s="52" t="n">
        <f aca="true">IF(E31="","",IF(G31="Done","Done",E31-TODAY()))</f>
        <v>438</v>
      </c>
      <c r="J31" s="61" t="n">
        <f aca="true">IF(OR(D31="",E31=""),"",IF(E31&gt;D31,MAX(0,MIN(1,(TODAY()-D31)/(E31-D31))),IF(TODAY()&gt;=E31,1,0)))</f>
        <v>0</v>
      </c>
      <c r="K31" s="52" t="n">
        <f aca="false">IF(J31="","",ROUND(J31*100-H31*100,0))</f>
        <v>0</v>
      </c>
      <c r="L31" s="62" t="str">
        <f aca="true">IF(OR(D31="",E31=""),"GREY",IF(G31="On hold","GREY",IF(G31="Done","GREEN",IF(E31&lt;TODAY(),"RED",IF(K31&gt;=30,"RED",IF(K31&gt;=15,"AMBER","GREEN"))))))</f>
        <v>GREEN</v>
      </c>
      <c r="M31" s="53" t="s">
        <v>508</v>
      </c>
    </row>
  </sheetData>
  <mergeCells count="9">
    <mergeCell ref="A1:M1"/>
    <mergeCell ref="A2:M2"/>
    <mergeCell ref="A3:C3"/>
    <mergeCell ref="A4:M4"/>
    <mergeCell ref="A6:M6"/>
    <mergeCell ref="A13:M13"/>
    <mergeCell ref="A20:M20"/>
    <mergeCell ref="A25:M25"/>
    <mergeCell ref="A28:M28"/>
  </mergeCells>
  <conditionalFormatting sqref="L6:L31">
    <cfRule type="cellIs" priority="2" operator="equal" aboveAverage="0" equalAverage="0" bottom="0" percent="0" rank="0" text="" dxfId="0">
      <formula>"RED"</formula>
    </cfRule>
    <cfRule type="cellIs" priority="3" operator="equal" aboveAverage="0" equalAverage="0" bottom="0" percent="0" rank="0" text="" dxfId="8">
      <formula>"AMBER"</formula>
    </cfRule>
    <cfRule type="cellIs" priority="4" operator="equal" aboveAverage="0" equalAverage="0" bottom="0" percent="0" rank="0" text="" dxfId="9">
      <formula>"GREEN"</formula>
    </cfRule>
    <cfRule type="cellIs" priority="5" operator="equal" aboveAverage="0" equalAverage="0" bottom="0" percent="0" rank="0" text="" dxfId="10">
      <formula>"GREY"</formula>
    </cfRule>
  </conditionalFormatting>
  <conditionalFormatting sqref="G6:G31">
    <cfRule type="cellIs" priority="6" operator="equal" aboveAverage="0" equalAverage="0" bottom="0" percent="0" rank="0" text="" dxfId="3">
      <formula>"Done"</formula>
    </cfRule>
    <cfRule type="cellIs" priority="7" operator="equal" aboveAverage="0" equalAverage="0" bottom="0" percent="0" rank="0" text="" dxfId="11">
      <formula>"In progress"</formula>
    </cfRule>
    <cfRule type="cellIs" priority="8" operator="equal" aboveAverage="0" equalAverage="0" bottom="0" percent="0" rank="0" text="" dxfId="5">
      <formula>"Blocked"</formula>
    </cfRule>
    <cfRule type="cellIs" priority="9" operator="equal" aboveAverage="0" equalAverage="0" bottom="0" percent="0" rank="0" text="" dxfId="12">
      <formula>"On hold"</formula>
    </cfRule>
  </conditionalFormatting>
  <conditionalFormatting sqref="H6:H31">
    <cfRule type="colorScale" priority="10">
      <colorScale>
        <cfvo type="num" val="0"/>
        <cfvo type="num" val="1"/>
        <color rgb="FFFFFFFF"/>
        <color rgb="FFA9D08E"/>
      </colorScale>
    </cfRule>
  </conditionalFormatting>
  <conditionalFormatting sqref="M3">
    <cfRule type="expression" priority="11" aboveAverage="0" equalAverage="0" bottom="0" percent="0" rank="0" text="" dxfId="3">
      <formula>$I$3+$K$3=0</formula>
    </cfRule>
    <cfRule type="expression" priority="12" aboveAverage="0" equalAverage="0" bottom="0" percent="0" rank="0" text="" dxfId="5">
      <formula>$I$3+$K$3&gt;0</formula>
    </cfRule>
  </conditionalFormatting>
  <dataValidations count="2">
    <dataValidation allowBlank="false" error="Enter a value between 0% and 100%." errorStyle="stop" errorTitle="Progress" operator="between" showDropDown="false" showErrorMessage="false" showInputMessage="false" sqref="H6:H31" type="decimal">
      <formula1>0</formula1>
      <formula2>1</formula2>
    </dataValidation>
    <dataValidation allowBlank="false" errorStyle="stop" operator="between" showDropDown="false" showErrorMessage="false" showInputMessage="false" sqref="G6:G31" type="list">
      <formula1>"Not started,In progress,Done,Blocked,On hold"</formula1>
      <formula2>0</formula2>
    </dataValidation>
  </dataValidations>
  <printOptions headings="false" gridLines="false" gridLinesSet="true" horizontalCentered="false" verticalCentered="false"/>
  <pageMargins left="0.4" right="0.4" top="0.5" bottom="0.5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&amp;A  -  page &amp;P of &amp;N  -  PROPOSED date, subject to sponsor approval</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546A"/>
    <pageSetUpPr fitToPage="true"/>
  </sheetPr>
  <dimension ref="A1:M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22"/>
    <col collapsed="false" customWidth="true" hidden="false" outlineLevel="0" max="4" min="4" style="0" width="12"/>
    <col collapsed="false" customWidth="true" hidden="false" outlineLevel="0" max="5" min="5" style="0" width="13"/>
    <col collapsed="false" customWidth="true" hidden="false" outlineLevel="0" max="7" min="6" style="0" width="12"/>
    <col collapsed="false" customWidth="true" hidden="false" outlineLevel="0" max="8" min="8" style="0" width="10"/>
    <col collapsed="false" customWidth="true" hidden="false" outlineLevel="0" max="10" min="9" style="0" width="8"/>
    <col collapsed="false" customWidth="true" hidden="false" outlineLevel="0" max="12" min="11" style="0" width="9"/>
    <col collapsed="false" customWidth="true" hidden="false" outlineLevel="0" max="13" min="13" style="0" width="62"/>
  </cols>
  <sheetData>
    <row r="1" customFormat="false" ht="27.75" hidden="false" customHeight="true" outlineLevel="0" collapsed="false">
      <c r="A1" s="42" t="s">
        <v>510</v>
      </c>
      <c r="B1" s="42"/>
      <c r="C1" s="42"/>
      <c r="D1" s="42"/>
      <c r="E1" s="42"/>
      <c r="F1" s="42"/>
      <c r="G1" s="42"/>
      <c r="H1" s="42"/>
      <c r="I1" s="42"/>
      <c r="J1" s="42"/>
      <c r="K1" s="42"/>
      <c r="L1" s="42"/>
      <c r="M1" s="42"/>
    </row>
    <row r="2" customFormat="false" ht="19.5" hidden="false" customHeight="true" outlineLevel="0" collapsed="false">
      <c r="A2" s="43" t="s">
        <v>86</v>
      </c>
      <c r="B2" s="43"/>
      <c r="C2" s="43"/>
      <c r="D2" s="43"/>
      <c r="E2" s="43"/>
      <c r="F2" s="43"/>
      <c r="G2" s="43"/>
      <c r="H2" s="43"/>
      <c r="I2" s="43"/>
      <c r="J2" s="43"/>
      <c r="K2" s="43"/>
      <c r="L2" s="43"/>
      <c r="M2" s="43"/>
    </row>
    <row r="3" customFormat="false" ht="19.5" hidden="false" customHeight="true" outlineLevel="0" collapsed="false">
      <c r="A3" s="56" t="s">
        <v>511</v>
      </c>
      <c r="B3" s="56"/>
      <c r="C3" s="56"/>
      <c r="D3" s="57" t="s">
        <v>16</v>
      </c>
      <c r="E3" s="57" t="n">
        <f aca="false">COUNT(A6:A34)</f>
        <v>24</v>
      </c>
      <c r="F3" s="57" t="s">
        <v>17</v>
      </c>
      <c r="G3" s="57" t="n">
        <f aca="false">COUNTIF(G6:G34,"Done")</f>
        <v>0</v>
      </c>
      <c r="H3" s="57" t="s">
        <v>19</v>
      </c>
      <c r="I3" s="57" t="n">
        <f aca="false">COUNTIF(L6:L34,"RED")</f>
        <v>0</v>
      </c>
      <c r="J3" s="57" t="s">
        <v>20</v>
      </c>
      <c r="K3" s="57" t="n">
        <f aca="false">COUNTIF(L6:L34,"AMBER")</f>
        <v>0</v>
      </c>
      <c r="L3" s="57" t="s">
        <v>141</v>
      </c>
      <c r="M3" s="58" t="str">
        <f aca="false" t="array" ref="M3:M3">IF(I3+K3=0,"Nothing behind schedule",_xlfn.TEXTJOIN(", ",TRUE(),IF((L6:L34="RED")+(L6:L34="AMBER"),"#"&amp;A6:A34,"")))</f>
        <v>Nothing behind schedule</v>
      </c>
    </row>
    <row r="4" customFormat="false" ht="25.5" hidden="false" customHeight="true" outlineLevel="0" collapsed="false">
      <c r="A4" s="59" t="s">
        <v>142</v>
      </c>
      <c r="B4" s="59"/>
      <c r="C4" s="59"/>
      <c r="D4" s="59"/>
      <c r="E4" s="59"/>
      <c r="F4" s="59"/>
      <c r="G4" s="59"/>
      <c r="H4" s="59"/>
      <c r="I4" s="59"/>
      <c r="J4" s="59"/>
      <c r="K4" s="59"/>
      <c r="L4" s="59"/>
      <c r="M4" s="59"/>
    </row>
    <row r="5" customFormat="false" ht="31.5" hidden="false" customHeight="true" outlineLevel="0" collapsed="false">
      <c r="A5" s="10" t="s">
        <v>143</v>
      </c>
      <c r="B5" s="10" t="s">
        <v>144</v>
      </c>
      <c r="C5" s="10" t="s">
        <v>145</v>
      </c>
      <c r="D5" s="10" t="s">
        <v>146</v>
      </c>
      <c r="E5" s="10" t="s">
        <v>147</v>
      </c>
      <c r="F5" s="10" t="s">
        <v>148</v>
      </c>
      <c r="G5" s="10" t="s">
        <v>23</v>
      </c>
      <c r="H5" s="10" t="s">
        <v>149</v>
      </c>
      <c r="I5" s="10" t="s">
        <v>150</v>
      </c>
      <c r="J5" s="10" t="s">
        <v>151</v>
      </c>
      <c r="K5" s="10" t="s">
        <v>152</v>
      </c>
      <c r="L5" s="10" t="s">
        <v>153</v>
      </c>
      <c r="M5" s="10" t="s">
        <v>154</v>
      </c>
    </row>
    <row r="6" customFormat="false" ht="18" hidden="false" customHeight="true" outlineLevel="0" collapsed="false">
      <c r="A6" s="60" t="s">
        <v>155</v>
      </c>
      <c r="B6" s="60"/>
      <c r="C6" s="60"/>
      <c r="D6" s="60"/>
      <c r="E6" s="60"/>
      <c r="F6" s="60"/>
      <c r="G6" s="60"/>
      <c r="H6" s="60"/>
      <c r="I6" s="60"/>
      <c r="J6" s="60"/>
      <c r="K6" s="60"/>
      <c r="L6" s="60"/>
      <c r="M6" s="60"/>
    </row>
    <row r="7" customFormat="false" ht="30" hidden="false" customHeight="true" outlineLevel="0" collapsed="false">
      <c r="A7" s="52" t="n">
        <v>1</v>
      </c>
      <c r="B7" s="53" t="s">
        <v>512</v>
      </c>
      <c r="C7" s="53" t="s">
        <v>513</v>
      </c>
      <c r="D7" s="55" t="n">
        <v>46321</v>
      </c>
      <c r="E7" s="55" t="n">
        <v>46339</v>
      </c>
      <c r="F7" s="55" t="n">
        <f aca="false">E7+14</f>
        <v>46353</v>
      </c>
      <c r="G7" s="52" t="s">
        <v>157</v>
      </c>
      <c r="H7" s="61" t="n">
        <v>0</v>
      </c>
      <c r="I7" s="52" t="n">
        <f aca="true">IF(E7="","",IF(G7="Done","Done",E7-TODAY()))</f>
        <v>18</v>
      </c>
      <c r="J7" s="61" t="n">
        <f aca="true">IF(OR(D7="",E7=""),"",IF(E7&gt;D7,MAX(0,MIN(1,(TODAY()-D7)/(E7-D7))),IF(TODAY()&gt;=E7,1,0)))</f>
        <v>0</v>
      </c>
      <c r="K7" s="52" t="n">
        <f aca="false">IF(J7="","",ROUND(J7*100-H7*100,0))</f>
        <v>0</v>
      </c>
      <c r="L7" s="62" t="str">
        <f aca="true">IF(OR(D7="",E7=""),"GREY",IF(G7="On hold","GREY",IF(G7="Done","GREEN",IF(E7&lt;TODAY(),"RED",IF(K7&gt;=30,"RED",IF(K7&gt;=15,"AMBER","GREEN"))))))</f>
        <v>GREEN</v>
      </c>
      <c r="M7" s="53" t="s">
        <v>514</v>
      </c>
    </row>
    <row r="8" customFormat="false" ht="43.5" hidden="false" customHeight="true" outlineLevel="0" collapsed="false">
      <c r="A8" s="52" t="n">
        <v>2</v>
      </c>
      <c r="B8" s="53" t="s">
        <v>515</v>
      </c>
      <c r="C8" s="53" t="s">
        <v>513</v>
      </c>
      <c r="D8" s="55" t="n">
        <v>46328</v>
      </c>
      <c r="E8" s="55" t="n">
        <v>46367</v>
      </c>
      <c r="F8" s="55" t="n">
        <f aca="false">E8+14</f>
        <v>46381</v>
      </c>
      <c r="G8" s="52" t="s">
        <v>157</v>
      </c>
      <c r="H8" s="61" t="n">
        <v>0</v>
      </c>
      <c r="I8" s="52" t="n">
        <f aca="true">IF(E8="","",IF(G8="Done","Done",E8-TODAY()))</f>
        <v>46</v>
      </c>
      <c r="J8" s="61" t="n">
        <f aca="true">IF(OR(D8="",E8=""),"",IF(E8&gt;D8,MAX(0,MIN(1,(TODAY()-D8)/(E8-D8))),IF(TODAY()&gt;=E8,1,0)))</f>
        <v>0</v>
      </c>
      <c r="K8" s="52" t="n">
        <f aca="false">IF(J8="","",ROUND(J8*100-H8*100,0))</f>
        <v>0</v>
      </c>
      <c r="L8" s="62" t="str">
        <f aca="true">IF(OR(D8="",E8=""),"GREY",IF(G8="On hold","GREY",IF(G8="Done","GREEN",IF(E8&lt;TODAY(),"RED",IF(K8&gt;=30,"RED",IF(K8&gt;=15,"AMBER","GREEN"))))))</f>
        <v>GREEN</v>
      </c>
      <c r="M8" s="53" t="s">
        <v>516</v>
      </c>
    </row>
    <row r="9" customFormat="false" ht="30" hidden="false" customHeight="true" outlineLevel="0" collapsed="false">
      <c r="A9" s="52" t="n">
        <v>3</v>
      </c>
      <c r="B9" s="53" t="s">
        <v>517</v>
      </c>
      <c r="C9" s="53" t="s">
        <v>513</v>
      </c>
      <c r="D9" s="55" t="n">
        <v>46335</v>
      </c>
      <c r="E9" s="55" t="n">
        <v>46367</v>
      </c>
      <c r="F9" s="55" t="n">
        <f aca="false">E9+14</f>
        <v>46381</v>
      </c>
      <c r="G9" s="52" t="s">
        <v>157</v>
      </c>
      <c r="H9" s="61" t="n">
        <v>0</v>
      </c>
      <c r="I9" s="52" t="n">
        <f aca="true">IF(E9="","",IF(G9="Done","Done",E9-TODAY()))</f>
        <v>46</v>
      </c>
      <c r="J9" s="61" t="n">
        <f aca="true">IF(OR(D9="",E9=""),"",IF(E9&gt;D9,MAX(0,MIN(1,(TODAY()-D9)/(E9-D9))),IF(TODAY()&gt;=E9,1,0)))</f>
        <v>0</v>
      </c>
      <c r="K9" s="52" t="n">
        <f aca="false">IF(J9="","",ROUND(J9*100-H9*100,0))</f>
        <v>0</v>
      </c>
      <c r="L9" s="62" t="str">
        <f aca="true">IF(OR(D9="",E9=""),"GREY",IF(G9="On hold","GREY",IF(G9="Done","GREEN",IF(E9&lt;TODAY(),"RED",IF(K9&gt;=30,"RED",IF(K9&gt;=15,"AMBER","GREEN"))))))</f>
        <v>GREEN</v>
      </c>
      <c r="M9" s="53" t="s">
        <v>518</v>
      </c>
    </row>
    <row r="10" customFormat="false" ht="18" hidden="false" customHeight="true" outlineLevel="0" collapsed="false">
      <c r="A10" s="60" t="s">
        <v>171</v>
      </c>
      <c r="B10" s="60"/>
      <c r="C10" s="60"/>
      <c r="D10" s="60"/>
      <c r="E10" s="60"/>
      <c r="F10" s="60"/>
      <c r="G10" s="60"/>
      <c r="H10" s="60"/>
      <c r="I10" s="60"/>
      <c r="J10" s="60"/>
      <c r="K10" s="60"/>
      <c r="L10" s="60"/>
      <c r="M10" s="60"/>
    </row>
    <row r="11" customFormat="false" ht="30" hidden="false" customHeight="true" outlineLevel="0" collapsed="false">
      <c r="A11" s="52" t="n">
        <v>4</v>
      </c>
      <c r="B11" s="53" t="s">
        <v>519</v>
      </c>
      <c r="C11" s="53" t="s">
        <v>28</v>
      </c>
      <c r="D11" s="55" t="n">
        <v>46391</v>
      </c>
      <c r="E11" s="55" t="n">
        <v>46444</v>
      </c>
      <c r="F11" s="55" t="n">
        <f aca="false">E11+14</f>
        <v>46458</v>
      </c>
      <c r="G11" s="52" t="s">
        <v>157</v>
      </c>
      <c r="H11" s="61" t="n">
        <v>0</v>
      </c>
      <c r="I11" s="52" t="n">
        <f aca="true">IF(E11="","",IF(G11="Done","Done",E11-TODAY()))</f>
        <v>123</v>
      </c>
      <c r="J11" s="61" t="n">
        <f aca="true">IF(OR(D11="",E11=""),"",IF(E11&gt;D11,MAX(0,MIN(1,(TODAY()-D11)/(E11-D11))),IF(TODAY()&gt;=E11,1,0)))</f>
        <v>0</v>
      </c>
      <c r="K11" s="52" t="n">
        <f aca="false">IF(J11="","",ROUND(J11*100-H11*100,0))</f>
        <v>0</v>
      </c>
      <c r="L11" s="62" t="str">
        <f aca="true">IF(OR(D11="",E11=""),"GREY",IF(G11="On hold","GREY",IF(G11="Done","GREEN",IF(E11&lt;TODAY(),"RED",IF(K11&gt;=30,"RED",IF(K11&gt;=15,"AMBER","GREEN"))))))</f>
        <v>GREEN</v>
      </c>
      <c r="M11" s="53" t="s">
        <v>520</v>
      </c>
    </row>
    <row r="12" customFormat="false" ht="30" hidden="false" customHeight="true" outlineLevel="0" collapsed="false">
      <c r="A12" s="52" t="n">
        <v>5</v>
      </c>
      <c r="B12" s="53" t="s">
        <v>521</v>
      </c>
      <c r="C12" s="53" t="s">
        <v>513</v>
      </c>
      <c r="D12" s="55" t="n">
        <v>46391</v>
      </c>
      <c r="E12" s="55" t="n">
        <v>46472</v>
      </c>
      <c r="F12" s="55" t="n">
        <f aca="false">E12+14</f>
        <v>46486</v>
      </c>
      <c r="G12" s="52" t="s">
        <v>157</v>
      </c>
      <c r="H12" s="61" t="n">
        <v>0</v>
      </c>
      <c r="I12" s="52" t="n">
        <f aca="true">IF(E12="","",IF(G12="Done","Done",E12-TODAY()))</f>
        <v>151</v>
      </c>
      <c r="J12" s="61" t="n">
        <f aca="true">IF(OR(D12="",E12=""),"",IF(E12&gt;D12,MAX(0,MIN(1,(TODAY()-D12)/(E12-D12))),IF(TODAY()&gt;=E12,1,0)))</f>
        <v>0</v>
      </c>
      <c r="K12" s="52" t="n">
        <f aca="false">IF(J12="","",ROUND(J12*100-H12*100,0))</f>
        <v>0</v>
      </c>
      <c r="L12" s="62" t="str">
        <f aca="true">IF(OR(D12="",E12=""),"GREY",IF(G12="On hold","GREY",IF(G12="Done","GREEN",IF(E12&lt;TODAY(),"RED",IF(K12&gt;=30,"RED",IF(K12&gt;=15,"AMBER","GREEN"))))))</f>
        <v>GREEN</v>
      </c>
      <c r="M12" s="53" t="s">
        <v>522</v>
      </c>
    </row>
    <row r="13" customFormat="false" ht="30" hidden="false" customHeight="true" outlineLevel="0" collapsed="false">
      <c r="A13" s="52" t="n">
        <v>6</v>
      </c>
      <c r="B13" s="53" t="s">
        <v>523</v>
      </c>
      <c r="C13" s="53" t="s">
        <v>513</v>
      </c>
      <c r="D13" s="55" t="n">
        <v>46391</v>
      </c>
      <c r="E13" s="55" t="n">
        <v>46477</v>
      </c>
      <c r="F13" s="55" t="n">
        <f aca="false">E13+14</f>
        <v>46491</v>
      </c>
      <c r="G13" s="52" t="s">
        <v>157</v>
      </c>
      <c r="H13" s="61" t="n">
        <v>0</v>
      </c>
      <c r="I13" s="52" t="n">
        <f aca="true">IF(E13="","",IF(G13="Done","Done",E13-TODAY()))</f>
        <v>156</v>
      </c>
      <c r="J13" s="61" t="n">
        <f aca="true">IF(OR(D13="",E13=""),"",IF(E13&gt;D13,MAX(0,MIN(1,(TODAY()-D13)/(E13-D13))),IF(TODAY()&gt;=E13,1,0)))</f>
        <v>0</v>
      </c>
      <c r="K13" s="52" t="n">
        <f aca="false">IF(J13="","",ROUND(J13*100-H13*100,0))</f>
        <v>0</v>
      </c>
      <c r="L13" s="62" t="str">
        <f aca="true">IF(OR(D13="",E13=""),"GREY",IF(G13="On hold","GREY",IF(G13="Done","GREEN",IF(E13&lt;TODAY(),"RED",IF(K13&gt;=30,"RED",IF(K13&gt;=15,"AMBER","GREEN"))))))</f>
        <v>GREEN</v>
      </c>
      <c r="M13" s="53" t="s">
        <v>524</v>
      </c>
    </row>
    <row r="14" customFormat="false" ht="30" hidden="false" customHeight="true" outlineLevel="0" collapsed="false">
      <c r="A14" s="52" t="n">
        <v>7</v>
      </c>
      <c r="B14" s="53" t="s">
        <v>525</v>
      </c>
      <c r="C14" s="53" t="s">
        <v>513</v>
      </c>
      <c r="D14" s="55" t="n">
        <v>46391</v>
      </c>
      <c r="E14" s="55" t="n">
        <f aca="false">EventDate-167</f>
        <v>46535</v>
      </c>
      <c r="F14" s="55" t="n">
        <f aca="false">E14+14</f>
        <v>46549</v>
      </c>
      <c r="G14" s="52" t="s">
        <v>157</v>
      </c>
      <c r="H14" s="61" t="n">
        <v>0</v>
      </c>
      <c r="I14" s="52" t="n">
        <f aca="true">IF(E14="","",IF(G14="Done","Done",E14-TODAY()))</f>
        <v>214</v>
      </c>
      <c r="J14" s="61" t="n">
        <f aca="true">IF(OR(D14="",E14=""),"",IF(E14&gt;D14,MAX(0,MIN(1,(TODAY()-D14)/(E14-D14))),IF(TODAY()&gt;=E14,1,0)))</f>
        <v>0</v>
      </c>
      <c r="K14" s="52" t="n">
        <f aca="false">IF(J14="","",ROUND(J14*100-H14*100,0))</f>
        <v>0</v>
      </c>
      <c r="L14" s="62" t="str">
        <f aca="true">IF(OR(D14="",E14=""),"GREY",IF(G14="On hold","GREY",IF(G14="Done","GREEN",IF(E14&lt;TODAY(),"RED",IF(K14&gt;=30,"RED",IF(K14&gt;=15,"AMBER","GREEN"))))))</f>
        <v>GREEN</v>
      </c>
      <c r="M14" s="53" t="s">
        <v>526</v>
      </c>
    </row>
    <row r="15" customFormat="false" ht="30" hidden="false" customHeight="true" outlineLevel="0" collapsed="false">
      <c r="A15" s="52" t="n">
        <v>8</v>
      </c>
      <c r="B15" s="53" t="s">
        <v>527</v>
      </c>
      <c r="C15" s="53" t="s">
        <v>513</v>
      </c>
      <c r="D15" s="55" t="n">
        <v>46419</v>
      </c>
      <c r="E15" s="55" t="n">
        <f aca="false">EventDate-153</f>
        <v>46549</v>
      </c>
      <c r="F15" s="55" t="n">
        <f aca="false">E15+14</f>
        <v>46563</v>
      </c>
      <c r="G15" s="52" t="s">
        <v>157</v>
      </c>
      <c r="H15" s="61" t="n">
        <v>0</v>
      </c>
      <c r="I15" s="52" t="n">
        <f aca="true">IF(E15="","",IF(G15="Done","Done",E15-TODAY()))</f>
        <v>228</v>
      </c>
      <c r="J15" s="61" t="n">
        <f aca="true">IF(OR(D15="",E15=""),"",IF(E15&gt;D15,MAX(0,MIN(1,(TODAY()-D15)/(E15-D15))),IF(TODAY()&gt;=E15,1,0)))</f>
        <v>0</v>
      </c>
      <c r="K15" s="52" t="n">
        <f aca="false">IF(J15="","",ROUND(J15*100-H15*100,0))</f>
        <v>0</v>
      </c>
      <c r="L15" s="62" t="str">
        <f aca="true">IF(OR(D15="",E15=""),"GREY",IF(G15="On hold","GREY",IF(G15="Done","GREEN",IF(E15&lt;TODAY(),"RED",IF(K15&gt;=30,"RED",IF(K15&gt;=15,"AMBER","GREEN"))))))</f>
        <v>GREEN</v>
      </c>
      <c r="M15" s="53" t="s">
        <v>528</v>
      </c>
    </row>
    <row r="16" customFormat="false" ht="30" hidden="false" customHeight="true" outlineLevel="0" collapsed="false">
      <c r="A16" s="52" t="n">
        <v>9</v>
      </c>
      <c r="B16" s="53" t="s">
        <v>529</v>
      </c>
      <c r="C16" s="53" t="s">
        <v>513</v>
      </c>
      <c r="D16" s="55" t="n">
        <v>46447</v>
      </c>
      <c r="E16" s="55" t="n">
        <f aca="false">EventDate-153</f>
        <v>46549</v>
      </c>
      <c r="F16" s="55" t="n">
        <f aca="false">E16+14</f>
        <v>46563</v>
      </c>
      <c r="G16" s="52" t="s">
        <v>157</v>
      </c>
      <c r="H16" s="61" t="n">
        <v>0</v>
      </c>
      <c r="I16" s="52" t="n">
        <f aca="true">IF(E16="","",IF(G16="Done","Done",E16-TODAY()))</f>
        <v>228</v>
      </c>
      <c r="J16" s="61" t="n">
        <f aca="true">IF(OR(D16="",E16=""),"",IF(E16&gt;D16,MAX(0,MIN(1,(TODAY()-D16)/(E16-D16))),IF(TODAY()&gt;=E16,1,0)))</f>
        <v>0</v>
      </c>
      <c r="K16" s="52" t="n">
        <f aca="false">IF(J16="","",ROUND(J16*100-H16*100,0))</f>
        <v>0</v>
      </c>
      <c r="L16" s="62" t="str">
        <f aca="true">IF(OR(D16="",E16=""),"GREY",IF(G16="On hold","GREY",IF(G16="Done","GREEN",IF(E16&lt;TODAY(),"RED",IF(K16&gt;=30,"RED",IF(K16&gt;=15,"AMBER","GREEN"))))))</f>
        <v>GREEN</v>
      </c>
      <c r="M16" s="53" t="s">
        <v>530</v>
      </c>
    </row>
    <row r="17" customFormat="false" ht="30" hidden="false" customHeight="true" outlineLevel="0" collapsed="false">
      <c r="A17" s="52" t="n">
        <v>10</v>
      </c>
      <c r="B17" s="53" t="s">
        <v>531</v>
      </c>
      <c r="C17" s="53" t="s">
        <v>513</v>
      </c>
      <c r="D17" s="55" t="n">
        <v>46447</v>
      </c>
      <c r="E17" s="55" t="n">
        <f aca="false">EventDate-146</f>
        <v>46556</v>
      </c>
      <c r="F17" s="55" t="n">
        <f aca="false">E17+14</f>
        <v>46570</v>
      </c>
      <c r="G17" s="52" t="s">
        <v>157</v>
      </c>
      <c r="H17" s="61" t="n">
        <v>0</v>
      </c>
      <c r="I17" s="52" t="n">
        <f aca="true">IF(E17="","",IF(G17="Done","Done",E17-TODAY()))</f>
        <v>235</v>
      </c>
      <c r="J17" s="61" t="n">
        <f aca="true">IF(OR(D17="",E17=""),"",IF(E17&gt;D17,MAX(0,MIN(1,(TODAY()-D17)/(E17-D17))),IF(TODAY()&gt;=E17,1,0)))</f>
        <v>0</v>
      </c>
      <c r="K17" s="52" t="n">
        <f aca="false">IF(J17="","",ROUND(J17*100-H17*100,0))</f>
        <v>0</v>
      </c>
      <c r="L17" s="62" t="str">
        <f aca="true">IF(OR(D17="",E17=""),"GREY",IF(G17="On hold","GREY",IF(G17="Done","GREEN",IF(E17&lt;TODAY(),"RED",IF(K17&gt;=30,"RED",IF(K17&gt;=15,"AMBER","GREEN"))))))</f>
        <v>GREEN</v>
      </c>
      <c r="M17" s="53" t="s">
        <v>532</v>
      </c>
    </row>
    <row r="18" customFormat="false" ht="30" hidden="false" customHeight="true" outlineLevel="0" collapsed="false">
      <c r="A18" s="52" t="n">
        <v>11</v>
      </c>
      <c r="B18" s="53" t="s">
        <v>533</v>
      </c>
      <c r="C18" s="53" t="s">
        <v>513</v>
      </c>
      <c r="D18" s="55" t="n">
        <f aca="false">EventDate-220</f>
        <v>46482</v>
      </c>
      <c r="E18" s="55" t="n">
        <f aca="false">EventDate-139</f>
        <v>46563</v>
      </c>
      <c r="F18" s="55" t="n">
        <f aca="false">E18+14</f>
        <v>46577</v>
      </c>
      <c r="G18" s="52" t="s">
        <v>157</v>
      </c>
      <c r="H18" s="61" t="n">
        <v>0</v>
      </c>
      <c r="I18" s="52" t="n">
        <f aca="true">IF(E18="","",IF(G18="Done","Done",E18-TODAY()))</f>
        <v>242</v>
      </c>
      <c r="J18" s="61" t="n">
        <f aca="true">IF(OR(D18="",E18=""),"",IF(E18&gt;D18,MAX(0,MIN(1,(TODAY()-D18)/(E18-D18))),IF(TODAY()&gt;=E18,1,0)))</f>
        <v>0</v>
      </c>
      <c r="K18" s="52" t="n">
        <f aca="false">IF(J18="","",ROUND(J18*100-H18*100,0))</f>
        <v>0</v>
      </c>
      <c r="L18" s="62" t="str">
        <f aca="true">IF(OR(D18="",E18=""),"GREY",IF(G18="On hold","GREY",IF(G18="Done","GREEN",IF(E18&lt;TODAY(),"RED",IF(K18&gt;=30,"RED",IF(K18&gt;=15,"AMBER","GREEN"))))))</f>
        <v>GREEN</v>
      </c>
      <c r="M18" s="53" t="s">
        <v>534</v>
      </c>
    </row>
    <row r="19" customFormat="false" ht="30" hidden="false" customHeight="true" outlineLevel="0" collapsed="false">
      <c r="A19" s="52" t="n">
        <v>12</v>
      </c>
      <c r="B19" s="53" t="s">
        <v>535</v>
      </c>
      <c r="C19" s="53" t="s">
        <v>513</v>
      </c>
      <c r="D19" s="55" t="n">
        <f aca="false">EventDate-220</f>
        <v>46482</v>
      </c>
      <c r="E19" s="55" t="n">
        <f aca="false">EventDate-76</f>
        <v>46626</v>
      </c>
      <c r="F19" s="55" t="n">
        <f aca="false">E19+14</f>
        <v>46640</v>
      </c>
      <c r="G19" s="52" t="s">
        <v>157</v>
      </c>
      <c r="H19" s="61" t="n">
        <v>0</v>
      </c>
      <c r="I19" s="52" t="n">
        <f aca="true">IF(E19="","",IF(G19="Done","Done",E19-TODAY()))</f>
        <v>305</v>
      </c>
      <c r="J19" s="61" t="n">
        <f aca="true">IF(OR(D19="",E19=""),"",IF(E19&gt;D19,MAX(0,MIN(1,(TODAY()-D19)/(E19-D19))),IF(TODAY()&gt;=E19,1,0)))</f>
        <v>0</v>
      </c>
      <c r="K19" s="52" t="n">
        <f aca="false">IF(J19="","",ROUND(J19*100-H19*100,0))</f>
        <v>0</v>
      </c>
      <c r="L19" s="62" t="str">
        <f aca="true">IF(OR(D19="",E19=""),"GREY",IF(G19="On hold","GREY",IF(G19="Done","GREEN",IF(E19&lt;TODAY(),"RED",IF(K19&gt;=30,"RED",IF(K19&gt;=15,"AMBER","GREEN"))))))</f>
        <v>GREEN</v>
      </c>
      <c r="M19" s="53" t="s">
        <v>269</v>
      </c>
    </row>
    <row r="20" customFormat="false" ht="30" hidden="false" customHeight="true" outlineLevel="0" collapsed="false">
      <c r="A20" s="52" t="n">
        <v>13</v>
      </c>
      <c r="B20" s="53" t="s">
        <v>536</v>
      </c>
      <c r="C20" s="53" t="s">
        <v>513</v>
      </c>
      <c r="D20" s="55" t="n">
        <f aca="false">EventDate-206</f>
        <v>46496</v>
      </c>
      <c r="E20" s="55" t="n">
        <f aca="false">EventDate-104</f>
        <v>46598</v>
      </c>
      <c r="F20" s="55" t="n">
        <f aca="false">E20+14</f>
        <v>46612</v>
      </c>
      <c r="G20" s="52" t="s">
        <v>157</v>
      </c>
      <c r="H20" s="61" t="n">
        <v>0</v>
      </c>
      <c r="I20" s="52" t="n">
        <f aca="true">IF(E20="","",IF(G20="Done","Done",E20-TODAY()))</f>
        <v>277</v>
      </c>
      <c r="J20" s="61" t="n">
        <f aca="true">IF(OR(D20="",E20=""),"",IF(E20&gt;D20,MAX(0,MIN(1,(TODAY()-D20)/(E20-D20))),IF(TODAY()&gt;=E20,1,0)))</f>
        <v>0</v>
      </c>
      <c r="K20" s="52" t="n">
        <f aca="false">IF(J20="","",ROUND(J20*100-H20*100,0))</f>
        <v>0</v>
      </c>
      <c r="L20" s="62" t="str">
        <f aca="true">IF(OR(D20="",E20=""),"GREY",IF(G20="On hold","GREY",IF(G20="Done","GREEN",IF(E20&lt;TODAY(),"RED",IF(K20&gt;=30,"RED",IF(K20&gt;=15,"AMBER","GREEN"))))))</f>
        <v>GREEN</v>
      </c>
      <c r="M20" s="53" t="s">
        <v>537</v>
      </c>
    </row>
    <row r="21" customFormat="false" ht="30" hidden="false" customHeight="true" outlineLevel="0" collapsed="false">
      <c r="A21" s="52" t="n">
        <v>14</v>
      </c>
      <c r="B21" s="53" t="s">
        <v>538</v>
      </c>
      <c r="C21" s="53" t="s">
        <v>513</v>
      </c>
      <c r="D21" s="55" t="n">
        <f aca="false">EventDate-163</f>
        <v>46539</v>
      </c>
      <c r="E21" s="55" t="n">
        <f aca="false">EventDate-76</f>
        <v>46626</v>
      </c>
      <c r="F21" s="55" t="n">
        <f aca="false">E21+14</f>
        <v>46640</v>
      </c>
      <c r="G21" s="52" t="s">
        <v>157</v>
      </c>
      <c r="H21" s="61" t="n">
        <v>0</v>
      </c>
      <c r="I21" s="52" t="n">
        <f aca="true">IF(E21="","",IF(G21="Done","Done",E21-TODAY()))</f>
        <v>305</v>
      </c>
      <c r="J21" s="61" t="n">
        <f aca="true">IF(OR(D21="",E21=""),"",IF(E21&gt;D21,MAX(0,MIN(1,(TODAY()-D21)/(E21-D21))),IF(TODAY()&gt;=E21,1,0)))</f>
        <v>0</v>
      </c>
      <c r="K21" s="52" t="n">
        <f aca="false">IF(J21="","",ROUND(J21*100-H21*100,0))</f>
        <v>0</v>
      </c>
      <c r="L21" s="62" t="str">
        <f aca="true">IF(OR(D21="",E21=""),"GREY",IF(G21="On hold","GREY",IF(G21="Done","GREEN",IF(E21&lt;TODAY(),"RED",IF(K21&gt;=30,"RED",IF(K21&gt;=15,"AMBER","GREEN"))))))</f>
        <v>GREEN</v>
      </c>
      <c r="M21" s="53" t="s">
        <v>539</v>
      </c>
    </row>
    <row r="22" customFormat="false" ht="30" hidden="false" customHeight="true" outlineLevel="0" collapsed="false">
      <c r="A22" s="52" t="n">
        <v>15</v>
      </c>
      <c r="B22" s="53" t="s">
        <v>540</v>
      </c>
      <c r="C22" s="53" t="s">
        <v>513</v>
      </c>
      <c r="D22" s="55" t="n">
        <f aca="false">EventDate-143</f>
        <v>46559</v>
      </c>
      <c r="E22" s="55" t="n">
        <f aca="false">EventDate-118</f>
        <v>46584</v>
      </c>
      <c r="F22" s="55" t="n">
        <f aca="false">E22+14</f>
        <v>46598</v>
      </c>
      <c r="G22" s="52" t="s">
        <v>157</v>
      </c>
      <c r="H22" s="61" t="n">
        <v>0</v>
      </c>
      <c r="I22" s="52" t="n">
        <f aca="true">IF(E22="","",IF(G22="Done","Done",E22-TODAY()))</f>
        <v>263</v>
      </c>
      <c r="J22" s="61" t="n">
        <f aca="true">IF(OR(D22="",E22=""),"",IF(E22&gt;D22,MAX(0,MIN(1,(TODAY()-D22)/(E22-D22))),IF(TODAY()&gt;=E22,1,0)))</f>
        <v>0</v>
      </c>
      <c r="K22" s="52" t="n">
        <f aca="false">IF(J22="","",ROUND(J22*100-H22*100,0))</f>
        <v>0</v>
      </c>
      <c r="L22" s="62" t="str">
        <f aca="true">IF(OR(D22="",E22=""),"GREY",IF(G22="On hold","GREY",IF(G22="Done","GREEN",IF(E22&lt;TODAY(),"RED",IF(K22&gt;=30,"RED",IF(K22&gt;=15,"AMBER","GREEN"))))))</f>
        <v>GREEN</v>
      </c>
      <c r="M22" s="53" t="s">
        <v>541</v>
      </c>
    </row>
    <row r="23" customFormat="false" ht="18" hidden="false" customHeight="true" outlineLevel="0" collapsed="false">
      <c r="A23" s="60" t="s">
        <v>179</v>
      </c>
      <c r="B23" s="60"/>
      <c r="C23" s="60"/>
      <c r="D23" s="60"/>
      <c r="E23" s="60"/>
      <c r="F23" s="60"/>
      <c r="G23" s="60"/>
      <c r="H23" s="60"/>
      <c r="I23" s="60"/>
      <c r="J23" s="60"/>
      <c r="K23" s="60"/>
      <c r="L23" s="60"/>
      <c r="M23" s="60"/>
    </row>
    <row r="24" customFormat="false" ht="30" hidden="false" customHeight="true" outlineLevel="0" collapsed="false">
      <c r="A24" s="52" t="n">
        <v>16</v>
      </c>
      <c r="B24" s="53" t="s">
        <v>542</v>
      </c>
      <c r="C24" s="53" t="s">
        <v>513</v>
      </c>
      <c r="D24" s="55" t="n">
        <f aca="false">EventDate-101</f>
        <v>46601</v>
      </c>
      <c r="E24" s="55" t="n">
        <f aca="false">EventDate-55</f>
        <v>46647</v>
      </c>
      <c r="F24" s="55" t="n">
        <f aca="false">E24+14</f>
        <v>46661</v>
      </c>
      <c r="G24" s="52" t="s">
        <v>157</v>
      </c>
      <c r="H24" s="61" t="n">
        <v>0</v>
      </c>
      <c r="I24" s="52" t="n">
        <f aca="true">IF(E24="","",IF(G24="Done","Done",E24-TODAY()))</f>
        <v>326</v>
      </c>
      <c r="J24" s="61" t="n">
        <f aca="true">IF(OR(D24="",E24=""),"",IF(E24&gt;D24,MAX(0,MIN(1,(TODAY()-D24)/(E24-D24))),IF(TODAY()&gt;=E24,1,0)))</f>
        <v>0</v>
      </c>
      <c r="K24" s="52" t="n">
        <f aca="false">IF(J24="","",ROUND(J24*100-H24*100,0))</f>
        <v>0</v>
      </c>
      <c r="L24" s="62" t="str">
        <f aca="true">IF(OR(D24="",E24=""),"GREY",IF(G24="On hold","GREY",IF(G24="Done","GREEN",IF(E24&lt;TODAY(),"RED",IF(K24&gt;=30,"RED",IF(K24&gt;=15,"AMBER","GREEN"))))))</f>
        <v>GREEN</v>
      </c>
      <c r="M24" s="53" t="s">
        <v>543</v>
      </c>
    </row>
    <row r="25" customFormat="false" ht="30" hidden="false" customHeight="true" outlineLevel="0" collapsed="false">
      <c r="A25" s="52" t="n">
        <v>17</v>
      </c>
      <c r="B25" s="53" t="s">
        <v>544</v>
      </c>
      <c r="C25" s="53" t="s">
        <v>513</v>
      </c>
      <c r="D25" s="55" t="n">
        <f aca="false">EventDate-73</f>
        <v>46629</v>
      </c>
      <c r="E25" s="55" t="n">
        <f aca="false">EventDate-42</f>
        <v>46660</v>
      </c>
      <c r="F25" s="55" t="n">
        <f aca="false">E25+14</f>
        <v>46674</v>
      </c>
      <c r="G25" s="52" t="s">
        <v>157</v>
      </c>
      <c r="H25" s="61" t="n">
        <v>0</v>
      </c>
      <c r="I25" s="52" t="n">
        <f aca="true">IF(E25="","",IF(G25="Done","Done",E25-TODAY()))</f>
        <v>339</v>
      </c>
      <c r="J25" s="61" t="n">
        <f aca="true">IF(OR(D25="",E25=""),"",IF(E25&gt;D25,MAX(0,MIN(1,(TODAY()-D25)/(E25-D25))),IF(TODAY()&gt;=E25,1,0)))</f>
        <v>0</v>
      </c>
      <c r="K25" s="52" t="n">
        <f aca="false">IF(J25="","",ROUND(J25*100-H25*100,0))</f>
        <v>0</v>
      </c>
      <c r="L25" s="62" t="str">
        <f aca="true">IF(OR(D25="",E25=""),"GREY",IF(G25="On hold","GREY",IF(G25="Done","GREEN",IF(E25&lt;TODAY(),"RED",IF(K25&gt;=30,"RED",IF(K25&gt;=15,"AMBER","GREEN"))))))</f>
        <v>GREEN</v>
      </c>
      <c r="M25" s="53" t="s">
        <v>273</v>
      </c>
    </row>
    <row r="26" customFormat="false" ht="30" hidden="false" customHeight="true" outlineLevel="0" collapsed="false">
      <c r="A26" s="52" t="n">
        <v>18</v>
      </c>
      <c r="B26" s="53" t="s">
        <v>545</v>
      </c>
      <c r="C26" s="53" t="s">
        <v>513</v>
      </c>
      <c r="D26" s="55" t="n">
        <f aca="false">EventDate-71</f>
        <v>46631</v>
      </c>
      <c r="E26" s="55" t="n">
        <f aca="false">EventDate-57</f>
        <v>46645</v>
      </c>
      <c r="F26" s="55" t="n">
        <f aca="false">E26+14</f>
        <v>46659</v>
      </c>
      <c r="G26" s="52" t="s">
        <v>157</v>
      </c>
      <c r="H26" s="61" t="n">
        <v>0</v>
      </c>
      <c r="I26" s="52" t="n">
        <f aca="true">IF(E26="","",IF(G26="Done","Done",E26-TODAY()))</f>
        <v>324</v>
      </c>
      <c r="J26" s="61" t="n">
        <f aca="true">IF(OR(D26="",E26=""),"",IF(E26&gt;D26,MAX(0,MIN(1,(TODAY()-D26)/(E26-D26))),IF(TODAY()&gt;=E26,1,0)))</f>
        <v>0</v>
      </c>
      <c r="K26" s="52" t="n">
        <f aca="false">IF(J26="","",ROUND(J26*100-H26*100,0))</f>
        <v>0</v>
      </c>
      <c r="L26" s="62" t="str">
        <f aca="true">IF(OR(D26="",E26=""),"GREY",IF(G26="On hold","GREY",IF(G26="Done","GREEN",IF(E26&lt;TODAY(),"RED",IF(K26&gt;=30,"RED",IF(K26&gt;=15,"AMBER","GREEN"))))))</f>
        <v>GREEN</v>
      </c>
      <c r="M26" s="53" t="s">
        <v>500</v>
      </c>
    </row>
    <row r="27" customFormat="false" ht="30" hidden="false" customHeight="true" outlineLevel="0" collapsed="false">
      <c r="A27" s="52" t="n">
        <v>19</v>
      </c>
      <c r="B27" s="53" t="s">
        <v>546</v>
      </c>
      <c r="C27" s="53" t="s">
        <v>513</v>
      </c>
      <c r="D27" s="55" t="n">
        <f aca="false">EventDate-45</f>
        <v>46657</v>
      </c>
      <c r="E27" s="55" t="n">
        <f aca="false">EventDate-42</f>
        <v>46660</v>
      </c>
      <c r="F27" s="55" t="n">
        <f aca="false">E27+14</f>
        <v>46674</v>
      </c>
      <c r="G27" s="52" t="s">
        <v>157</v>
      </c>
      <c r="H27" s="61" t="n">
        <v>0</v>
      </c>
      <c r="I27" s="52" t="n">
        <f aca="true">IF(E27="","",IF(G27="Done","Done",E27-TODAY()))</f>
        <v>339</v>
      </c>
      <c r="J27" s="61" t="n">
        <f aca="true">IF(OR(D27="",E27=""),"",IF(E27&gt;D27,MAX(0,MIN(1,(TODAY()-D27)/(E27-D27))),IF(TODAY()&gt;=E27,1,0)))</f>
        <v>0</v>
      </c>
      <c r="K27" s="52" t="n">
        <f aca="false">IF(J27="","",ROUND(J27*100-H27*100,0))</f>
        <v>0</v>
      </c>
      <c r="L27" s="62" t="str">
        <f aca="true">IF(OR(D27="",E27=""),"GREY",IF(G27="On hold","GREY",IF(G27="Done","GREEN",IF(E27&lt;TODAY(),"RED",IF(K27&gt;=30,"RED",IF(K27&gt;=15,"AMBER","GREEN"))))))</f>
        <v>GREEN</v>
      </c>
      <c r="M27" s="53" t="s">
        <v>237</v>
      </c>
    </row>
    <row r="28" customFormat="false" ht="18" hidden="false" customHeight="true" outlineLevel="0" collapsed="false">
      <c r="A28" s="63" t="s">
        <v>185</v>
      </c>
      <c r="B28" s="63"/>
      <c r="C28" s="63"/>
      <c r="D28" s="63"/>
      <c r="E28" s="63"/>
      <c r="F28" s="63"/>
      <c r="G28" s="63"/>
      <c r="H28" s="63"/>
      <c r="I28" s="63"/>
      <c r="J28" s="63"/>
      <c r="K28" s="63"/>
      <c r="L28" s="63"/>
      <c r="M28" s="63"/>
    </row>
    <row r="29" customFormat="false" ht="30" hidden="false" customHeight="true" outlineLevel="0" collapsed="false">
      <c r="A29" s="64" t="n">
        <v>20</v>
      </c>
      <c r="B29" s="65" t="s">
        <v>547</v>
      </c>
      <c r="C29" s="65" t="s">
        <v>513</v>
      </c>
      <c r="D29" s="66" t="n">
        <f aca="false">EventDate-27</f>
        <v>46675</v>
      </c>
      <c r="E29" s="66" t="n">
        <f aca="false">EventDate-1</f>
        <v>46701</v>
      </c>
      <c r="F29" s="66" t="n">
        <f aca="false">E29</f>
        <v>46701</v>
      </c>
      <c r="G29" s="64" t="s">
        <v>157</v>
      </c>
      <c r="H29" s="67" t="n">
        <v>0</v>
      </c>
      <c r="I29" s="64" t="n">
        <f aca="true">IF(E29="","",IF(G29="Done","Done",E29-TODAY()))</f>
        <v>380</v>
      </c>
      <c r="J29" s="67" t="n">
        <f aca="true">IF(OR(D29="",E29=""),"",IF(E29&gt;D29,MAX(0,MIN(1,(TODAY()-D29)/(E29-D29))),IF(TODAY()&gt;=E29,1,0)))</f>
        <v>0</v>
      </c>
      <c r="K29" s="64" t="n">
        <f aca="false">IF(J29="","",ROUND(J29*100-H29*100,0))</f>
        <v>0</v>
      </c>
      <c r="L29" s="68" t="str">
        <f aca="true">IF(OR(D29="",E29=""),"GREY",IF(G29="On hold","GREY",IF(G29="Done","GREEN",IF(E29&lt;TODAY(),"RED",IF(K29&gt;=30,"RED",IF(K29&gt;=15,"AMBER","GREEN"))))))</f>
        <v>GREEN</v>
      </c>
      <c r="M29" s="65" t="s">
        <v>548</v>
      </c>
    </row>
    <row r="30" customFormat="false" ht="30" hidden="false" customHeight="true" outlineLevel="0" collapsed="false">
      <c r="A30" s="64" t="n">
        <v>21</v>
      </c>
      <c r="B30" s="65" t="s">
        <v>549</v>
      </c>
      <c r="C30" s="65" t="s">
        <v>513</v>
      </c>
      <c r="D30" s="66" t="n">
        <f aca="false">EventDate-17</f>
        <v>46685</v>
      </c>
      <c r="E30" s="66" t="n">
        <f aca="false">EventDate-6</f>
        <v>46696</v>
      </c>
      <c r="F30" s="66" t="n">
        <f aca="false">E30</f>
        <v>46696</v>
      </c>
      <c r="G30" s="64" t="s">
        <v>157</v>
      </c>
      <c r="H30" s="67" t="n">
        <v>0</v>
      </c>
      <c r="I30" s="64" t="n">
        <f aca="true">IF(E30="","",IF(G30="Done","Done",E30-TODAY()))</f>
        <v>375</v>
      </c>
      <c r="J30" s="67" t="n">
        <f aca="true">IF(OR(D30="",E30=""),"",IF(E30&gt;D30,MAX(0,MIN(1,(TODAY()-D30)/(E30-D30))),IF(TODAY()&gt;=E30,1,0)))</f>
        <v>0</v>
      </c>
      <c r="K30" s="64" t="n">
        <f aca="false">IF(J30="","",ROUND(J30*100-H30*100,0))</f>
        <v>0</v>
      </c>
      <c r="L30" s="68" t="str">
        <f aca="true">IF(OR(D30="",E30=""),"GREY",IF(G30="On hold","GREY",IF(G30="Done","GREEN",IF(E30&lt;TODAY(),"RED",IF(K30&gt;=30,"RED",IF(K30&gt;=15,"AMBER","GREEN"))))))</f>
        <v>GREEN</v>
      </c>
      <c r="M30" s="65" t="s">
        <v>473</v>
      </c>
    </row>
    <row r="31" customFormat="false" ht="30" hidden="false" customHeight="true" outlineLevel="0" collapsed="false">
      <c r="A31" s="64" t="n">
        <v>22</v>
      </c>
      <c r="B31" s="65" t="s">
        <v>550</v>
      </c>
      <c r="C31" s="65" t="s">
        <v>513</v>
      </c>
      <c r="D31" s="66" t="n">
        <f aca="false">EventDate-10</f>
        <v>46692</v>
      </c>
      <c r="E31" s="66" t="n">
        <f aca="false">EventDate-3</f>
        <v>46699</v>
      </c>
      <c r="F31" s="66" t="n">
        <f aca="false">E31</f>
        <v>46699</v>
      </c>
      <c r="G31" s="64" t="s">
        <v>157</v>
      </c>
      <c r="H31" s="67" t="n">
        <v>0</v>
      </c>
      <c r="I31" s="64" t="n">
        <f aca="true">IF(E31="","",IF(G31="Done","Done",E31-TODAY()))</f>
        <v>378</v>
      </c>
      <c r="J31" s="67" t="n">
        <f aca="true">IF(OR(D31="",E31=""),"",IF(E31&gt;D31,MAX(0,MIN(1,(TODAY()-D31)/(E31-D31))),IF(TODAY()&gt;=E31,1,0)))</f>
        <v>0</v>
      </c>
      <c r="K31" s="64" t="n">
        <f aca="false">IF(J31="","",ROUND(J31*100-H31*100,0))</f>
        <v>0</v>
      </c>
      <c r="L31" s="68" t="str">
        <f aca="true">IF(OR(D31="",E31=""),"GREY",IF(G31="On hold","GREY",IF(G31="Done","GREEN",IF(E31&lt;TODAY(),"RED",IF(K31&gt;=30,"RED",IF(K31&gt;=15,"AMBER","GREEN"))))))</f>
        <v>GREEN</v>
      </c>
      <c r="M31" s="65" t="s">
        <v>333</v>
      </c>
    </row>
    <row r="32" customFormat="false" ht="18" hidden="false" customHeight="true" outlineLevel="0" collapsed="false">
      <c r="A32" s="60" t="s">
        <v>190</v>
      </c>
      <c r="B32" s="60"/>
      <c r="C32" s="60"/>
      <c r="D32" s="60"/>
      <c r="E32" s="60"/>
      <c r="F32" s="60"/>
      <c r="G32" s="60"/>
      <c r="H32" s="60"/>
      <c r="I32" s="60"/>
      <c r="J32" s="60"/>
      <c r="K32" s="60"/>
      <c r="L32" s="60"/>
      <c r="M32" s="60"/>
    </row>
    <row r="33" customFormat="false" ht="30" hidden="false" customHeight="true" outlineLevel="0" collapsed="false">
      <c r="A33" s="52" t="n">
        <v>23</v>
      </c>
      <c r="B33" s="53" t="s">
        <v>551</v>
      </c>
      <c r="C33" s="53" t="s">
        <v>513</v>
      </c>
      <c r="D33" s="55" t="n">
        <f aca="false">EventDate</f>
        <v>46702</v>
      </c>
      <c r="E33" s="55" t="n">
        <f aca="false">EventDate</f>
        <v>46702</v>
      </c>
      <c r="F33" s="55" t="n">
        <f aca="false">E33</f>
        <v>46702</v>
      </c>
      <c r="G33" s="52" t="s">
        <v>157</v>
      </c>
      <c r="H33" s="61" t="n">
        <v>0</v>
      </c>
      <c r="I33" s="52" t="n">
        <f aca="true">IF(E33="","",IF(G33="Done","Done",E33-TODAY()))</f>
        <v>381</v>
      </c>
      <c r="J33" s="61" t="n">
        <f aca="true">IF(OR(D33="",E33=""),"",IF(E33&gt;D33,MAX(0,MIN(1,(TODAY()-D33)/(E33-D33))),IF(TODAY()&gt;=E33,1,0)))</f>
        <v>0</v>
      </c>
      <c r="K33" s="52" t="n">
        <f aca="false">IF(J33="","",ROUND(J33*100-H33*100,0))</f>
        <v>0</v>
      </c>
      <c r="L33" s="62" t="str">
        <f aca="true">IF(OR(D33="",E33=""),"GREY",IF(G33="On hold","GREY",IF(G33="Done","GREEN",IF(E33&lt;TODAY(),"RED",IF(K33&gt;=30,"RED",IF(K33&gt;=15,"AMBER","GREEN"))))))</f>
        <v>GREEN</v>
      </c>
      <c r="M33" s="53" t="s">
        <v>335</v>
      </c>
    </row>
    <row r="34" customFormat="false" ht="30" hidden="false" customHeight="true" outlineLevel="0" collapsed="false">
      <c r="A34" s="52" t="n">
        <v>24</v>
      </c>
      <c r="B34" s="53" t="s">
        <v>552</v>
      </c>
      <c r="C34" s="53" t="s">
        <v>513</v>
      </c>
      <c r="D34" s="55" t="n">
        <f aca="false">EventDate+4</f>
        <v>46706</v>
      </c>
      <c r="E34" s="55" t="n">
        <f aca="false">EventDate+36</f>
        <v>46738</v>
      </c>
      <c r="F34" s="55" t="n">
        <f aca="false">E34+14</f>
        <v>46752</v>
      </c>
      <c r="G34" s="52" t="s">
        <v>157</v>
      </c>
      <c r="H34" s="61" t="n">
        <v>0</v>
      </c>
      <c r="I34" s="52" t="n">
        <f aca="true">IF(E34="","",IF(G34="Done","Done",E34-TODAY()))</f>
        <v>417</v>
      </c>
      <c r="J34" s="61" t="n">
        <f aca="true">IF(OR(D34="",E34=""),"",IF(E34&gt;D34,MAX(0,MIN(1,(TODAY()-D34)/(E34-D34))),IF(TODAY()&gt;=E34,1,0)))</f>
        <v>0</v>
      </c>
      <c r="K34" s="52" t="n">
        <f aca="false">IF(J34="","",ROUND(J34*100-H34*100,0))</f>
        <v>0</v>
      </c>
      <c r="L34" s="62" t="str">
        <f aca="true">IF(OR(D34="",E34=""),"GREY",IF(G34="On hold","GREY",IF(G34="Done","GREEN",IF(E34&lt;TODAY(),"RED",IF(K34&gt;=30,"RED",IF(K34&gt;=15,"AMBER","GREEN"))))))</f>
        <v>GREEN</v>
      </c>
      <c r="M34" s="53" t="s">
        <v>553</v>
      </c>
    </row>
  </sheetData>
  <mergeCells count="9">
    <mergeCell ref="A1:M1"/>
    <mergeCell ref="A2:M2"/>
    <mergeCell ref="A3:C3"/>
    <mergeCell ref="A4:M4"/>
    <mergeCell ref="A6:M6"/>
    <mergeCell ref="A10:M10"/>
    <mergeCell ref="A23:M23"/>
    <mergeCell ref="A28:M28"/>
    <mergeCell ref="A32:M32"/>
  </mergeCells>
  <conditionalFormatting sqref="L6:L34">
    <cfRule type="cellIs" priority="2" operator="equal" aboveAverage="0" equalAverage="0" bottom="0" percent="0" rank="0" text="" dxfId="0">
      <formula>"RED"</formula>
    </cfRule>
    <cfRule type="cellIs" priority="3" operator="equal" aboveAverage="0" equalAverage="0" bottom="0" percent="0" rank="0" text="" dxfId="8">
      <formula>"AMBER"</formula>
    </cfRule>
    <cfRule type="cellIs" priority="4" operator="equal" aboveAverage="0" equalAverage="0" bottom="0" percent="0" rank="0" text="" dxfId="9">
      <formula>"GREEN"</formula>
    </cfRule>
    <cfRule type="cellIs" priority="5" operator="equal" aboveAverage="0" equalAverage="0" bottom="0" percent="0" rank="0" text="" dxfId="10">
      <formula>"GREY"</formula>
    </cfRule>
  </conditionalFormatting>
  <conditionalFormatting sqref="G6:G34">
    <cfRule type="cellIs" priority="6" operator="equal" aboveAverage="0" equalAverage="0" bottom="0" percent="0" rank="0" text="" dxfId="3">
      <formula>"Done"</formula>
    </cfRule>
    <cfRule type="cellIs" priority="7" operator="equal" aboveAverage="0" equalAverage="0" bottom="0" percent="0" rank="0" text="" dxfId="11">
      <formula>"In progress"</formula>
    </cfRule>
    <cfRule type="cellIs" priority="8" operator="equal" aboveAverage="0" equalAverage="0" bottom="0" percent="0" rank="0" text="" dxfId="5">
      <formula>"Blocked"</formula>
    </cfRule>
    <cfRule type="cellIs" priority="9" operator="equal" aboveAverage="0" equalAverage="0" bottom="0" percent="0" rank="0" text="" dxfId="12">
      <formula>"On hold"</formula>
    </cfRule>
  </conditionalFormatting>
  <conditionalFormatting sqref="H6:H34">
    <cfRule type="colorScale" priority="10">
      <colorScale>
        <cfvo type="num" val="0"/>
        <cfvo type="num" val="1"/>
        <color rgb="FFFFFFFF"/>
        <color rgb="FFA9D08E"/>
      </colorScale>
    </cfRule>
  </conditionalFormatting>
  <conditionalFormatting sqref="M3">
    <cfRule type="expression" priority="11" aboveAverage="0" equalAverage="0" bottom="0" percent="0" rank="0" text="" dxfId="3">
      <formula>$I$3+$K$3=0</formula>
    </cfRule>
    <cfRule type="expression" priority="12" aboveAverage="0" equalAverage="0" bottom="0" percent="0" rank="0" text="" dxfId="5">
      <formula>$I$3+$K$3&gt;0</formula>
    </cfRule>
  </conditionalFormatting>
  <dataValidations count="2">
    <dataValidation allowBlank="false" error="Enter a value between 0% and 100%." errorStyle="stop" errorTitle="Progress" operator="between" showDropDown="false" showErrorMessage="false" showInputMessage="false" sqref="H6:H34" type="decimal">
      <formula1>0</formula1>
      <formula2>1</formula2>
    </dataValidation>
    <dataValidation allowBlank="false" errorStyle="stop" operator="between" showDropDown="false" showErrorMessage="false" showInputMessage="false" sqref="G6:G34" type="list">
      <formula1>"Not started,In progress,Done,Blocked,On hold"</formula1>
      <formula2>0</formula2>
    </dataValidation>
  </dataValidations>
  <printOptions headings="false" gridLines="false" gridLinesSet="true" horizontalCentered="false" verticalCentered="false"/>
  <pageMargins left="0.4" right="0.4" top="0.5" bottom="0.5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&amp;A  -  page &amp;P of &amp;N  -  PROPOSED date, subject to sponsor approval</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33C8B"/>
    <pageSetUpPr fitToPage="true"/>
  </sheetPr>
  <dimension ref="A1:M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22"/>
    <col collapsed="false" customWidth="true" hidden="false" outlineLevel="0" max="4" min="4" style="0" width="12"/>
    <col collapsed="false" customWidth="true" hidden="false" outlineLevel="0" max="5" min="5" style="0" width="13"/>
    <col collapsed="false" customWidth="true" hidden="false" outlineLevel="0" max="7" min="6" style="0" width="12"/>
    <col collapsed="false" customWidth="true" hidden="false" outlineLevel="0" max="8" min="8" style="0" width="10"/>
    <col collapsed="false" customWidth="true" hidden="false" outlineLevel="0" max="10" min="9" style="0" width="8"/>
    <col collapsed="false" customWidth="true" hidden="false" outlineLevel="0" max="12" min="11" style="0" width="9"/>
    <col collapsed="false" customWidth="true" hidden="false" outlineLevel="0" max="13" min="13" style="0" width="62"/>
  </cols>
  <sheetData>
    <row r="1" customFormat="false" ht="27.75" hidden="false" customHeight="true" outlineLevel="0" collapsed="false">
      <c r="A1" s="42" t="s">
        <v>554</v>
      </c>
      <c r="B1" s="42"/>
      <c r="C1" s="42"/>
      <c r="D1" s="42"/>
      <c r="E1" s="42"/>
      <c r="F1" s="42"/>
      <c r="G1" s="42"/>
      <c r="H1" s="42"/>
      <c r="I1" s="42"/>
      <c r="J1" s="42"/>
      <c r="K1" s="42"/>
      <c r="L1" s="42"/>
      <c r="M1" s="42"/>
    </row>
    <row r="2" customFormat="false" ht="19.5" hidden="false" customHeight="true" outlineLevel="0" collapsed="false">
      <c r="A2" s="43" t="s">
        <v>86</v>
      </c>
      <c r="B2" s="43"/>
      <c r="C2" s="43"/>
      <c r="D2" s="43"/>
      <c r="E2" s="43"/>
      <c r="F2" s="43"/>
      <c r="G2" s="43"/>
      <c r="H2" s="43"/>
      <c r="I2" s="43"/>
      <c r="J2" s="43"/>
      <c r="K2" s="43"/>
      <c r="L2" s="43"/>
      <c r="M2" s="43"/>
    </row>
    <row r="3" customFormat="false" ht="19.5" hidden="false" customHeight="true" outlineLevel="0" collapsed="false">
      <c r="A3" s="56" t="s">
        <v>555</v>
      </c>
      <c r="B3" s="56"/>
      <c r="C3" s="56"/>
      <c r="D3" s="57" t="s">
        <v>16</v>
      </c>
      <c r="E3" s="57" t="n">
        <f aca="false">COUNT(A6:A27)</f>
        <v>17</v>
      </c>
      <c r="F3" s="57" t="s">
        <v>17</v>
      </c>
      <c r="G3" s="57" t="n">
        <f aca="false">COUNTIF(G6:G27,"Done")</f>
        <v>0</v>
      </c>
      <c r="H3" s="57" t="s">
        <v>19</v>
      </c>
      <c r="I3" s="57" t="n">
        <f aca="false">COUNTIF(L6:L27,"RED")</f>
        <v>0</v>
      </c>
      <c r="J3" s="57" t="s">
        <v>20</v>
      </c>
      <c r="K3" s="57" t="n">
        <f aca="false">COUNTIF(L6:L27,"AMBER")</f>
        <v>0</v>
      </c>
      <c r="L3" s="57" t="s">
        <v>141</v>
      </c>
      <c r="M3" s="58" t="str">
        <f aca="false" t="array" ref="M3:M3">IF(I3+K3=0,"Nothing behind schedule",_xlfn.TEXTJOIN(", ",TRUE(),IF((L6:L27="RED")+(L6:L27="AMBER"),"#"&amp;A6:A27,"")))</f>
        <v>Nothing behind schedule</v>
      </c>
    </row>
    <row r="4" customFormat="false" ht="25.5" hidden="false" customHeight="true" outlineLevel="0" collapsed="false">
      <c r="A4" s="59" t="s">
        <v>142</v>
      </c>
      <c r="B4" s="59"/>
      <c r="C4" s="59"/>
      <c r="D4" s="59"/>
      <c r="E4" s="59"/>
      <c r="F4" s="59"/>
      <c r="G4" s="59"/>
      <c r="H4" s="59"/>
      <c r="I4" s="59"/>
      <c r="J4" s="59"/>
      <c r="K4" s="59"/>
      <c r="L4" s="59"/>
      <c r="M4" s="59"/>
    </row>
    <row r="5" customFormat="false" ht="31.5" hidden="false" customHeight="true" outlineLevel="0" collapsed="false">
      <c r="A5" s="10" t="s">
        <v>143</v>
      </c>
      <c r="B5" s="10" t="s">
        <v>144</v>
      </c>
      <c r="C5" s="10" t="s">
        <v>145</v>
      </c>
      <c r="D5" s="10" t="s">
        <v>146</v>
      </c>
      <c r="E5" s="10" t="s">
        <v>147</v>
      </c>
      <c r="F5" s="10" t="s">
        <v>148</v>
      </c>
      <c r="G5" s="10" t="s">
        <v>23</v>
      </c>
      <c r="H5" s="10" t="s">
        <v>149</v>
      </c>
      <c r="I5" s="10" t="s">
        <v>150</v>
      </c>
      <c r="J5" s="10" t="s">
        <v>151</v>
      </c>
      <c r="K5" s="10" t="s">
        <v>152</v>
      </c>
      <c r="L5" s="10" t="s">
        <v>153</v>
      </c>
      <c r="M5" s="10" t="s">
        <v>154</v>
      </c>
    </row>
    <row r="6" customFormat="false" ht="18" hidden="false" customHeight="true" outlineLevel="0" collapsed="false">
      <c r="A6" s="60" t="s">
        <v>155</v>
      </c>
      <c r="B6" s="60"/>
      <c r="C6" s="60"/>
      <c r="D6" s="60"/>
      <c r="E6" s="60"/>
      <c r="F6" s="60"/>
      <c r="G6" s="60"/>
      <c r="H6" s="60"/>
      <c r="I6" s="60"/>
      <c r="J6" s="60"/>
      <c r="K6" s="60"/>
      <c r="L6" s="60"/>
      <c r="M6" s="60"/>
    </row>
    <row r="7" customFormat="false" ht="30" hidden="false" customHeight="true" outlineLevel="0" collapsed="false">
      <c r="A7" s="52" t="n">
        <v>1</v>
      </c>
      <c r="B7" s="53" t="s">
        <v>556</v>
      </c>
      <c r="C7" s="53" t="s">
        <v>41</v>
      </c>
      <c r="D7" s="55" t="n">
        <v>46321</v>
      </c>
      <c r="E7" s="55" t="n">
        <v>46346</v>
      </c>
      <c r="F7" s="55" t="n">
        <f aca="false">E7+14</f>
        <v>46360</v>
      </c>
      <c r="G7" s="52" t="s">
        <v>157</v>
      </c>
      <c r="H7" s="61" t="n">
        <v>0</v>
      </c>
      <c r="I7" s="52" t="n">
        <f aca="true">IF(E7="","",IF(G7="Done","Done",E7-TODAY()))</f>
        <v>25</v>
      </c>
      <c r="J7" s="61" t="n">
        <f aca="true">IF(OR(D7="",E7=""),"",IF(E7&gt;D7,MAX(0,MIN(1,(TODAY()-D7)/(E7-D7))),IF(TODAY()&gt;=E7,1,0)))</f>
        <v>0</v>
      </c>
      <c r="K7" s="52" t="n">
        <f aca="false">IF(J7="","",ROUND(J7*100-H7*100,0))</f>
        <v>0</v>
      </c>
      <c r="L7" s="62" t="str">
        <f aca="true">IF(OR(D7="",E7=""),"GREY",IF(G7="On hold","GREY",IF(G7="Done","GREEN",IF(E7&lt;TODAY(),"RED",IF(K7&gt;=30,"RED",IF(K7&gt;=15,"AMBER","GREEN"))))))</f>
        <v>GREEN</v>
      </c>
      <c r="M7" s="53" t="s">
        <v>557</v>
      </c>
    </row>
    <row r="8" customFormat="false" ht="30" hidden="false" customHeight="true" outlineLevel="0" collapsed="false">
      <c r="A8" s="52" t="n">
        <v>2</v>
      </c>
      <c r="B8" s="53" t="s">
        <v>558</v>
      </c>
      <c r="C8" s="53" t="s">
        <v>41</v>
      </c>
      <c r="D8" s="55" t="n">
        <v>46335</v>
      </c>
      <c r="E8" s="55" t="n">
        <v>46444</v>
      </c>
      <c r="F8" s="55" t="n">
        <f aca="false">E8+14</f>
        <v>46458</v>
      </c>
      <c r="G8" s="52" t="s">
        <v>157</v>
      </c>
      <c r="H8" s="61" t="n">
        <v>0</v>
      </c>
      <c r="I8" s="52" t="n">
        <f aca="true">IF(E8="","",IF(G8="Done","Done",E8-TODAY()))</f>
        <v>123</v>
      </c>
      <c r="J8" s="61" t="n">
        <f aca="true">IF(OR(D8="",E8=""),"",IF(E8&gt;D8,MAX(0,MIN(1,(TODAY()-D8)/(E8-D8))),IF(TODAY()&gt;=E8,1,0)))</f>
        <v>0</v>
      </c>
      <c r="K8" s="52" t="n">
        <f aca="false">IF(J8="","",ROUND(J8*100-H8*100,0))</f>
        <v>0</v>
      </c>
      <c r="L8" s="62" t="str">
        <f aca="true">IF(OR(D8="",E8=""),"GREY",IF(G8="On hold","GREY",IF(G8="Done","GREEN",IF(E8&lt;TODAY(),"RED",IF(K8&gt;=30,"RED",IF(K8&gt;=15,"AMBER","GREEN"))))))</f>
        <v>GREEN</v>
      </c>
      <c r="M8" s="53" t="s">
        <v>559</v>
      </c>
    </row>
    <row r="9" customFormat="false" ht="30" hidden="false" customHeight="true" outlineLevel="0" collapsed="false">
      <c r="A9" s="52" t="n">
        <v>3</v>
      </c>
      <c r="B9" s="53" t="s">
        <v>560</v>
      </c>
      <c r="C9" s="53" t="s">
        <v>41</v>
      </c>
      <c r="D9" s="55" t="n">
        <v>46357</v>
      </c>
      <c r="E9" s="55" t="n">
        <v>46444</v>
      </c>
      <c r="F9" s="55" t="n">
        <f aca="false">E9+14</f>
        <v>46458</v>
      </c>
      <c r="G9" s="52" t="s">
        <v>157</v>
      </c>
      <c r="H9" s="61" t="n">
        <v>0</v>
      </c>
      <c r="I9" s="52" t="n">
        <f aca="true">IF(E9="","",IF(G9="Done","Done",E9-TODAY()))</f>
        <v>123</v>
      </c>
      <c r="J9" s="61" t="n">
        <f aca="true">IF(OR(D9="",E9=""),"",IF(E9&gt;D9,MAX(0,MIN(1,(TODAY()-D9)/(E9-D9))),IF(TODAY()&gt;=E9,1,0)))</f>
        <v>0</v>
      </c>
      <c r="K9" s="52" t="n">
        <f aca="false">IF(J9="","",ROUND(J9*100-H9*100,0))</f>
        <v>0</v>
      </c>
      <c r="L9" s="62" t="str">
        <f aca="true">IF(OR(D9="",E9=""),"GREY",IF(G9="On hold","GREY",IF(G9="Done","GREEN",IF(E9&lt;TODAY(),"RED",IF(K9&gt;=30,"RED",IF(K9&gt;=15,"AMBER","GREEN"))))))</f>
        <v>GREEN</v>
      </c>
      <c r="M9" s="53" t="s">
        <v>561</v>
      </c>
    </row>
    <row r="10" customFormat="false" ht="18" hidden="false" customHeight="true" outlineLevel="0" collapsed="false">
      <c r="A10" s="60" t="s">
        <v>171</v>
      </c>
      <c r="B10" s="60"/>
      <c r="C10" s="60"/>
      <c r="D10" s="60"/>
      <c r="E10" s="60"/>
      <c r="F10" s="60"/>
      <c r="G10" s="60"/>
      <c r="H10" s="60"/>
      <c r="I10" s="60"/>
      <c r="J10" s="60"/>
      <c r="K10" s="60"/>
      <c r="L10" s="60"/>
      <c r="M10" s="60"/>
    </row>
    <row r="11" customFormat="false" ht="30" hidden="false" customHeight="true" outlineLevel="0" collapsed="false">
      <c r="A11" s="52" t="n">
        <v>4</v>
      </c>
      <c r="B11" s="53" t="s">
        <v>562</v>
      </c>
      <c r="C11" s="53" t="s">
        <v>41</v>
      </c>
      <c r="D11" s="55" t="n">
        <v>46398</v>
      </c>
      <c r="E11" s="55" t="n">
        <v>46472</v>
      </c>
      <c r="F11" s="55" t="n">
        <f aca="false">E11+14</f>
        <v>46486</v>
      </c>
      <c r="G11" s="52" t="s">
        <v>157</v>
      </c>
      <c r="H11" s="61" t="n">
        <v>0</v>
      </c>
      <c r="I11" s="52" t="n">
        <f aca="true">IF(E11="","",IF(G11="Done","Done",E11-TODAY()))</f>
        <v>151</v>
      </c>
      <c r="J11" s="61" t="n">
        <f aca="true">IF(OR(D11="",E11=""),"",IF(E11&gt;D11,MAX(0,MIN(1,(TODAY()-D11)/(E11-D11))),IF(TODAY()&gt;=E11,1,0)))</f>
        <v>0</v>
      </c>
      <c r="K11" s="52" t="n">
        <f aca="false">IF(J11="","",ROUND(J11*100-H11*100,0))</f>
        <v>0</v>
      </c>
      <c r="L11" s="62" t="str">
        <f aca="true">IF(OR(D11="",E11=""),"GREY",IF(G11="On hold","GREY",IF(G11="Done","GREEN",IF(E11&lt;TODAY(),"RED",IF(K11&gt;=30,"RED",IF(K11&gt;=15,"AMBER","GREEN"))))))</f>
        <v>GREEN</v>
      </c>
      <c r="M11" s="53" t="s">
        <v>273</v>
      </c>
    </row>
    <row r="12" customFormat="false" ht="30" hidden="false" customHeight="true" outlineLevel="0" collapsed="false">
      <c r="A12" s="52" t="n">
        <v>5</v>
      </c>
      <c r="B12" s="53" t="s">
        <v>563</v>
      </c>
      <c r="C12" s="53" t="s">
        <v>41</v>
      </c>
      <c r="D12" s="55" t="n">
        <v>46398</v>
      </c>
      <c r="E12" s="55" t="n">
        <v>46477</v>
      </c>
      <c r="F12" s="55" t="n">
        <f aca="false">E12+14</f>
        <v>46491</v>
      </c>
      <c r="G12" s="52" t="s">
        <v>157</v>
      </c>
      <c r="H12" s="61" t="n">
        <v>0</v>
      </c>
      <c r="I12" s="52" t="n">
        <f aca="true">IF(E12="","",IF(G12="Done","Done",E12-TODAY()))</f>
        <v>156</v>
      </c>
      <c r="J12" s="61" t="n">
        <f aca="true">IF(OR(D12="",E12=""),"",IF(E12&gt;D12,MAX(0,MIN(1,(TODAY()-D12)/(E12-D12))),IF(TODAY()&gt;=E12,1,0)))</f>
        <v>0</v>
      </c>
      <c r="K12" s="52" t="n">
        <f aca="false">IF(J12="","",ROUND(J12*100-H12*100,0))</f>
        <v>0</v>
      </c>
      <c r="L12" s="62" t="str">
        <f aca="true">IF(OR(D12="",E12=""),"GREY",IF(G12="On hold","GREY",IF(G12="Done","GREEN",IF(E12&lt;TODAY(),"RED",IF(K12&gt;=30,"RED",IF(K12&gt;=15,"AMBER","GREEN"))))))</f>
        <v>GREEN</v>
      </c>
      <c r="M12" s="53" t="s">
        <v>564</v>
      </c>
    </row>
    <row r="13" customFormat="false" ht="30" hidden="false" customHeight="true" outlineLevel="0" collapsed="false">
      <c r="A13" s="52" t="n">
        <v>6</v>
      </c>
      <c r="B13" s="53" t="s">
        <v>565</v>
      </c>
      <c r="C13" s="53" t="s">
        <v>41</v>
      </c>
      <c r="D13" s="55" t="n">
        <v>46398</v>
      </c>
      <c r="E13" s="55" t="n">
        <f aca="false">EventDate-134</f>
        <v>46568</v>
      </c>
      <c r="F13" s="55" t="n">
        <f aca="false">E13+14</f>
        <v>46582</v>
      </c>
      <c r="G13" s="52" t="s">
        <v>157</v>
      </c>
      <c r="H13" s="61" t="n">
        <v>0</v>
      </c>
      <c r="I13" s="52" t="n">
        <f aca="true">IF(E13="","",IF(G13="Done","Done",E13-TODAY()))</f>
        <v>247</v>
      </c>
      <c r="J13" s="61" t="n">
        <f aca="true">IF(OR(D13="",E13=""),"",IF(E13&gt;D13,MAX(0,MIN(1,(TODAY()-D13)/(E13-D13))),IF(TODAY()&gt;=E13,1,0)))</f>
        <v>0</v>
      </c>
      <c r="K13" s="52" t="n">
        <f aca="false">IF(J13="","",ROUND(J13*100-H13*100,0))</f>
        <v>0</v>
      </c>
      <c r="L13" s="62" t="str">
        <f aca="true">IF(OR(D13="",E13=""),"GREY",IF(G13="On hold","GREY",IF(G13="Done","GREEN",IF(E13&lt;TODAY(),"RED",IF(K13&gt;=30,"RED",IF(K13&gt;=15,"AMBER","GREEN"))))))</f>
        <v>GREEN</v>
      </c>
      <c r="M13" s="53" t="s">
        <v>566</v>
      </c>
    </row>
    <row r="14" customFormat="false" ht="30" hidden="false" customHeight="true" outlineLevel="0" collapsed="false">
      <c r="A14" s="52" t="n">
        <v>7</v>
      </c>
      <c r="B14" s="53" t="s">
        <v>567</v>
      </c>
      <c r="C14" s="53" t="s">
        <v>41</v>
      </c>
      <c r="D14" s="55" t="n">
        <v>46419</v>
      </c>
      <c r="E14" s="55" t="n">
        <f aca="false">EventDate-167</f>
        <v>46535</v>
      </c>
      <c r="F14" s="55" t="n">
        <f aca="false">E14+14</f>
        <v>46549</v>
      </c>
      <c r="G14" s="52" t="s">
        <v>157</v>
      </c>
      <c r="H14" s="61" t="n">
        <v>0</v>
      </c>
      <c r="I14" s="52" t="n">
        <f aca="true">IF(E14="","",IF(G14="Done","Done",E14-TODAY()))</f>
        <v>214</v>
      </c>
      <c r="J14" s="61" t="n">
        <f aca="true">IF(OR(D14="",E14=""),"",IF(E14&gt;D14,MAX(0,MIN(1,(TODAY()-D14)/(E14-D14))),IF(TODAY()&gt;=E14,1,0)))</f>
        <v>0</v>
      </c>
      <c r="K14" s="52" t="n">
        <f aca="false">IF(J14="","",ROUND(J14*100-H14*100,0))</f>
        <v>0</v>
      </c>
      <c r="L14" s="62" t="str">
        <f aca="true">IF(OR(D14="",E14=""),"GREY",IF(G14="On hold","GREY",IF(G14="Done","GREEN",IF(E14&lt;TODAY(),"RED",IF(K14&gt;=30,"RED",IF(K14&gt;=15,"AMBER","GREEN"))))))</f>
        <v>GREEN</v>
      </c>
      <c r="M14" s="53" t="s">
        <v>269</v>
      </c>
    </row>
    <row r="15" customFormat="false" ht="30" hidden="false" customHeight="true" outlineLevel="0" collapsed="false">
      <c r="A15" s="52" t="n">
        <v>8</v>
      </c>
      <c r="B15" s="53" t="s">
        <v>568</v>
      </c>
      <c r="C15" s="53" t="s">
        <v>41</v>
      </c>
      <c r="D15" s="55" t="n">
        <f aca="false">EventDate-163</f>
        <v>46539</v>
      </c>
      <c r="E15" s="55" t="n">
        <f aca="false">EventDate-90</f>
        <v>46612</v>
      </c>
      <c r="F15" s="55" t="n">
        <f aca="false">E15+14</f>
        <v>46626</v>
      </c>
      <c r="G15" s="52" t="s">
        <v>157</v>
      </c>
      <c r="H15" s="61" t="n">
        <v>0</v>
      </c>
      <c r="I15" s="52" t="n">
        <f aca="true">IF(E15="","",IF(G15="Done","Done",E15-TODAY()))</f>
        <v>291</v>
      </c>
      <c r="J15" s="61" t="n">
        <f aca="true">IF(OR(D15="",E15=""),"",IF(E15&gt;D15,MAX(0,MIN(1,(TODAY()-D15)/(E15-D15))),IF(TODAY()&gt;=E15,1,0)))</f>
        <v>0</v>
      </c>
      <c r="K15" s="52" t="n">
        <f aca="false">IF(J15="","",ROUND(J15*100-H15*100,0))</f>
        <v>0</v>
      </c>
      <c r="L15" s="62" t="str">
        <f aca="true">IF(OR(D15="",E15=""),"GREY",IF(G15="On hold","GREY",IF(G15="Done","GREEN",IF(E15&lt;TODAY(),"RED",IF(K15&gt;=30,"RED",IF(K15&gt;=15,"AMBER","GREEN"))))))</f>
        <v>GREEN</v>
      </c>
      <c r="M15" s="53" t="s">
        <v>569</v>
      </c>
    </row>
    <row r="16" customFormat="false" ht="30" hidden="false" customHeight="true" outlineLevel="0" collapsed="false">
      <c r="A16" s="52" t="n">
        <v>9</v>
      </c>
      <c r="B16" s="53" t="s">
        <v>570</v>
      </c>
      <c r="C16" s="53" t="s">
        <v>41</v>
      </c>
      <c r="D16" s="55" t="n">
        <f aca="false">EventDate-157</f>
        <v>46545</v>
      </c>
      <c r="E16" s="55" t="n">
        <f aca="false">EventDate-104</f>
        <v>46598</v>
      </c>
      <c r="F16" s="55" t="n">
        <f aca="false">E16+14</f>
        <v>46612</v>
      </c>
      <c r="G16" s="52" t="s">
        <v>157</v>
      </c>
      <c r="H16" s="61" t="n">
        <v>0</v>
      </c>
      <c r="I16" s="52" t="n">
        <f aca="true">IF(E16="","",IF(G16="Done","Done",E16-TODAY()))</f>
        <v>277</v>
      </c>
      <c r="J16" s="61" t="n">
        <f aca="true">IF(OR(D16="",E16=""),"",IF(E16&gt;D16,MAX(0,MIN(1,(TODAY()-D16)/(E16-D16))),IF(TODAY()&gt;=E16,1,0)))</f>
        <v>0</v>
      </c>
      <c r="K16" s="52" t="n">
        <f aca="false">IF(J16="","",ROUND(J16*100-H16*100,0))</f>
        <v>0</v>
      </c>
      <c r="L16" s="62" t="str">
        <f aca="true">IF(OR(D16="",E16=""),"GREY",IF(G16="On hold","GREY",IF(G16="Done","GREEN",IF(E16&lt;TODAY(),"RED",IF(K16&gt;=30,"RED",IF(K16&gt;=15,"AMBER","GREEN"))))))</f>
        <v>GREEN</v>
      </c>
      <c r="M16" s="53" t="s">
        <v>273</v>
      </c>
    </row>
    <row r="17" customFormat="false" ht="18" hidden="false" customHeight="true" outlineLevel="0" collapsed="false">
      <c r="A17" s="60" t="s">
        <v>179</v>
      </c>
      <c r="B17" s="60"/>
      <c r="C17" s="60"/>
      <c r="D17" s="60"/>
      <c r="E17" s="60"/>
      <c r="F17" s="60"/>
      <c r="G17" s="60"/>
      <c r="H17" s="60"/>
      <c r="I17" s="60"/>
      <c r="J17" s="60"/>
      <c r="K17" s="60"/>
      <c r="L17" s="60"/>
      <c r="M17" s="60"/>
    </row>
    <row r="18" customFormat="false" ht="30" hidden="false" customHeight="true" outlineLevel="0" collapsed="false">
      <c r="A18" s="52" t="n">
        <v>10</v>
      </c>
      <c r="B18" s="53" t="s">
        <v>571</v>
      </c>
      <c r="C18" s="53" t="s">
        <v>41</v>
      </c>
      <c r="D18" s="55" t="n">
        <f aca="false">EventDate-101</f>
        <v>46601</v>
      </c>
      <c r="E18" s="55" t="n">
        <f aca="false">EventDate-48</f>
        <v>46654</v>
      </c>
      <c r="F18" s="55" t="n">
        <f aca="false">E18+14</f>
        <v>46668</v>
      </c>
      <c r="G18" s="52" t="s">
        <v>157</v>
      </c>
      <c r="H18" s="61" t="n">
        <v>0</v>
      </c>
      <c r="I18" s="52" t="n">
        <f aca="true">IF(E18="","",IF(G18="Done","Done",E18-TODAY()))</f>
        <v>333</v>
      </c>
      <c r="J18" s="61" t="n">
        <f aca="true">IF(OR(D18="",E18=""),"",IF(E18&gt;D18,MAX(0,MIN(1,(TODAY()-D18)/(E18-D18))),IF(TODAY()&gt;=E18,1,0)))</f>
        <v>0</v>
      </c>
      <c r="K18" s="52" t="n">
        <f aca="false">IF(J18="","",ROUND(J18*100-H18*100,0))</f>
        <v>0</v>
      </c>
      <c r="L18" s="62" t="str">
        <f aca="true">IF(OR(D18="",E18=""),"GREY",IF(G18="On hold","GREY",IF(G18="Done","GREEN",IF(E18&lt;TODAY(),"RED",IF(K18&gt;=30,"RED",IF(K18&gt;=15,"AMBER","GREEN"))))))</f>
        <v>GREEN</v>
      </c>
      <c r="M18" s="53" t="s">
        <v>273</v>
      </c>
    </row>
    <row r="19" customFormat="false" ht="30" hidden="false" customHeight="true" outlineLevel="0" collapsed="false">
      <c r="A19" s="52" t="n">
        <v>11</v>
      </c>
      <c r="B19" s="53" t="s">
        <v>572</v>
      </c>
      <c r="C19" s="53" t="s">
        <v>41</v>
      </c>
      <c r="D19" s="55" t="n">
        <f aca="false">EventDate-101</f>
        <v>46601</v>
      </c>
      <c r="E19" s="55" t="n">
        <f aca="false">EventDate-48</f>
        <v>46654</v>
      </c>
      <c r="F19" s="55" t="n">
        <f aca="false">E19+14</f>
        <v>46668</v>
      </c>
      <c r="G19" s="52" t="s">
        <v>157</v>
      </c>
      <c r="H19" s="61" t="n">
        <v>0</v>
      </c>
      <c r="I19" s="52" t="n">
        <f aca="true">IF(E19="","",IF(G19="Done","Done",E19-TODAY()))</f>
        <v>333</v>
      </c>
      <c r="J19" s="61" t="n">
        <f aca="true">IF(OR(D19="",E19=""),"",IF(E19&gt;D19,MAX(0,MIN(1,(TODAY()-D19)/(E19-D19))),IF(TODAY()&gt;=E19,1,0)))</f>
        <v>0</v>
      </c>
      <c r="K19" s="52" t="n">
        <f aca="false">IF(J19="","",ROUND(J19*100-H19*100,0))</f>
        <v>0</v>
      </c>
      <c r="L19" s="62" t="str">
        <f aca="true">IF(OR(D19="",E19=""),"GREY",IF(G19="On hold","GREY",IF(G19="Done","GREEN",IF(E19&lt;TODAY(),"RED",IF(K19&gt;=30,"RED",IF(K19&gt;=15,"AMBER","GREEN"))))))</f>
        <v>GREEN</v>
      </c>
      <c r="M19" s="53" t="s">
        <v>273</v>
      </c>
    </row>
    <row r="20" customFormat="false" ht="30" hidden="false" customHeight="true" outlineLevel="0" collapsed="false">
      <c r="A20" s="52" t="n">
        <v>12</v>
      </c>
      <c r="B20" s="53" t="s">
        <v>573</v>
      </c>
      <c r="C20" s="53" t="s">
        <v>41</v>
      </c>
      <c r="D20" s="55" t="n">
        <f aca="false">EventDate-73</f>
        <v>46629</v>
      </c>
      <c r="E20" s="55" t="n">
        <f aca="false">EventDate-55</f>
        <v>46647</v>
      </c>
      <c r="F20" s="55" t="n">
        <f aca="false">E20+14</f>
        <v>46661</v>
      </c>
      <c r="G20" s="52" t="s">
        <v>157</v>
      </c>
      <c r="H20" s="61" t="n">
        <v>0</v>
      </c>
      <c r="I20" s="52" t="n">
        <f aca="true">IF(E20="","",IF(G20="Done","Done",E20-TODAY()))</f>
        <v>326</v>
      </c>
      <c r="J20" s="61" t="n">
        <f aca="true">IF(OR(D20="",E20=""),"",IF(E20&gt;D20,MAX(0,MIN(1,(TODAY()-D20)/(E20-D20))),IF(TODAY()&gt;=E20,1,0)))</f>
        <v>0</v>
      </c>
      <c r="K20" s="52" t="n">
        <f aca="false">IF(J20="","",ROUND(J20*100-H20*100,0))</f>
        <v>0</v>
      </c>
      <c r="L20" s="62" t="str">
        <f aca="true">IF(OR(D20="",E20=""),"GREY",IF(G20="On hold","GREY",IF(G20="Done","GREEN",IF(E20&lt;TODAY(),"RED",IF(K20&gt;=30,"RED",IF(K20&gt;=15,"AMBER","GREEN"))))))</f>
        <v>GREEN</v>
      </c>
      <c r="M20" s="53" t="s">
        <v>273</v>
      </c>
    </row>
    <row r="21" customFormat="false" ht="30" hidden="false" customHeight="true" outlineLevel="0" collapsed="false">
      <c r="A21" s="52" t="n">
        <v>13</v>
      </c>
      <c r="B21" s="53" t="s">
        <v>574</v>
      </c>
      <c r="C21" s="53" t="s">
        <v>41</v>
      </c>
      <c r="D21" s="55" t="n">
        <f aca="false">EventDate-45</f>
        <v>46657</v>
      </c>
      <c r="E21" s="55" t="n">
        <f aca="false">EventDate-42</f>
        <v>46660</v>
      </c>
      <c r="F21" s="55" t="n">
        <f aca="false">E21+14</f>
        <v>46674</v>
      </c>
      <c r="G21" s="52" t="s">
        <v>157</v>
      </c>
      <c r="H21" s="61" t="n">
        <v>0</v>
      </c>
      <c r="I21" s="52" t="n">
        <f aca="true">IF(E21="","",IF(G21="Done","Done",E21-TODAY()))</f>
        <v>339</v>
      </c>
      <c r="J21" s="61" t="n">
        <f aca="true">IF(OR(D21="",E21=""),"",IF(E21&gt;D21,MAX(0,MIN(1,(TODAY()-D21)/(E21-D21))),IF(TODAY()&gt;=E21,1,0)))</f>
        <v>0</v>
      </c>
      <c r="K21" s="52" t="n">
        <f aca="false">IF(J21="","",ROUND(J21*100-H21*100,0))</f>
        <v>0</v>
      </c>
      <c r="L21" s="62" t="str">
        <f aca="true">IF(OR(D21="",E21=""),"GREY",IF(G21="On hold","GREY",IF(G21="Done","GREEN",IF(E21&lt;TODAY(),"RED",IF(K21&gt;=30,"RED",IF(K21&gt;=15,"AMBER","GREEN"))))))</f>
        <v>GREEN</v>
      </c>
      <c r="M21" s="53" t="s">
        <v>237</v>
      </c>
    </row>
    <row r="22" customFormat="false" ht="18" hidden="false" customHeight="true" outlineLevel="0" collapsed="false">
      <c r="A22" s="63" t="s">
        <v>185</v>
      </c>
      <c r="B22" s="63"/>
      <c r="C22" s="63"/>
      <c r="D22" s="63"/>
      <c r="E22" s="63"/>
      <c r="F22" s="63"/>
      <c r="G22" s="63"/>
      <c r="H22" s="63"/>
      <c r="I22" s="63"/>
      <c r="J22" s="63"/>
      <c r="K22" s="63"/>
      <c r="L22" s="63"/>
      <c r="M22" s="63"/>
    </row>
    <row r="23" customFormat="false" ht="30" hidden="false" customHeight="true" outlineLevel="0" collapsed="false">
      <c r="A23" s="64" t="n">
        <v>14</v>
      </c>
      <c r="B23" s="65" t="s">
        <v>575</v>
      </c>
      <c r="C23" s="65" t="s">
        <v>41</v>
      </c>
      <c r="D23" s="66" t="n">
        <f aca="false">EventDate-24</f>
        <v>46678</v>
      </c>
      <c r="E23" s="66" t="n">
        <f aca="false">EventDate-8</f>
        <v>46694</v>
      </c>
      <c r="F23" s="66" t="n">
        <f aca="false">E23</f>
        <v>46694</v>
      </c>
      <c r="G23" s="64" t="s">
        <v>157</v>
      </c>
      <c r="H23" s="67" t="n">
        <v>0</v>
      </c>
      <c r="I23" s="64" t="n">
        <f aca="true">IF(E23="","",IF(G23="Done","Done",E23-TODAY()))</f>
        <v>373</v>
      </c>
      <c r="J23" s="67" t="n">
        <f aca="true">IF(OR(D23="",E23=""),"",IF(E23&gt;D23,MAX(0,MIN(1,(TODAY()-D23)/(E23-D23))),IF(TODAY()&gt;=E23,1,0)))</f>
        <v>0</v>
      </c>
      <c r="K23" s="64" t="n">
        <f aca="false">IF(J23="","",ROUND(J23*100-H23*100,0))</f>
        <v>0</v>
      </c>
      <c r="L23" s="68" t="str">
        <f aca="true">IF(OR(D23="",E23=""),"GREY",IF(G23="On hold","GREY",IF(G23="Done","GREEN",IF(E23&lt;TODAY(),"RED",IF(K23&gt;=30,"RED",IF(K23&gt;=15,"AMBER","GREEN"))))))</f>
        <v>GREEN</v>
      </c>
      <c r="M23" s="65" t="s">
        <v>328</v>
      </c>
    </row>
    <row r="24" customFormat="false" ht="30" hidden="false" customHeight="true" outlineLevel="0" collapsed="false">
      <c r="A24" s="64" t="n">
        <v>15</v>
      </c>
      <c r="B24" s="65" t="s">
        <v>576</v>
      </c>
      <c r="C24" s="65" t="s">
        <v>41</v>
      </c>
      <c r="D24" s="66" t="n">
        <f aca="false">EventDate-17</f>
        <v>46685</v>
      </c>
      <c r="E24" s="66" t="n">
        <f aca="false">EventDate-6</f>
        <v>46696</v>
      </c>
      <c r="F24" s="66" t="n">
        <f aca="false">E24</f>
        <v>46696</v>
      </c>
      <c r="G24" s="64" t="s">
        <v>157</v>
      </c>
      <c r="H24" s="67" t="n">
        <v>0</v>
      </c>
      <c r="I24" s="64" t="n">
        <f aca="true">IF(E24="","",IF(G24="Done","Done",E24-TODAY()))</f>
        <v>375</v>
      </c>
      <c r="J24" s="67" t="n">
        <f aca="true">IF(OR(D24="",E24=""),"",IF(E24&gt;D24,MAX(0,MIN(1,(TODAY()-D24)/(E24-D24))),IF(TODAY()&gt;=E24,1,0)))</f>
        <v>0</v>
      </c>
      <c r="K24" s="64" t="n">
        <f aca="false">IF(J24="","",ROUND(J24*100-H24*100,0))</f>
        <v>0</v>
      </c>
      <c r="L24" s="68" t="str">
        <f aca="true">IF(OR(D24="",E24=""),"GREY",IF(G24="On hold","GREY",IF(G24="Done","GREEN",IF(E24&lt;TODAY(),"RED",IF(K24&gt;=30,"RED",IF(K24&gt;=15,"AMBER","GREEN"))))))</f>
        <v>GREEN</v>
      </c>
      <c r="M24" s="65" t="s">
        <v>289</v>
      </c>
    </row>
    <row r="25" customFormat="false" ht="18" hidden="false" customHeight="true" outlineLevel="0" collapsed="false">
      <c r="A25" s="60" t="s">
        <v>190</v>
      </c>
      <c r="B25" s="60"/>
      <c r="C25" s="60"/>
      <c r="D25" s="60"/>
      <c r="E25" s="60"/>
      <c r="F25" s="60"/>
      <c r="G25" s="60"/>
      <c r="H25" s="60"/>
      <c r="I25" s="60"/>
      <c r="J25" s="60"/>
      <c r="K25" s="60"/>
      <c r="L25" s="60"/>
      <c r="M25" s="60"/>
    </row>
    <row r="26" customFormat="false" ht="30" hidden="false" customHeight="true" outlineLevel="0" collapsed="false">
      <c r="A26" s="52" t="n">
        <v>16</v>
      </c>
      <c r="B26" s="53" t="s">
        <v>577</v>
      </c>
      <c r="C26" s="53" t="s">
        <v>41</v>
      </c>
      <c r="D26" s="55" t="n">
        <f aca="false">EventDate+1</f>
        <v>46703</v>
      </c>
      <c r="E26" s="55" t="n">
        <f aca="false">EventDate+8</f>
        <v>46710</v>
      </c>
      <c r="F26" s="55" t="n">
        <f aca="false">E26+14</f>
        <v>46724</v>
      </c>
      <c r="G26" s="52" t="s">
        <v>157</v>
      </c>
      <c r="H26" s="61" t="n">
        <v>0</v>
      </c>
      <c r="I26" s="52" t="n">
        <f aca="true">IF(E26="","",IF(G26="Done","Done",E26-TODAY()))</f>
        <v>389</v>
      </c>
      <c r="J26" s="61" t="n">
        <f aca="true">IF(OR(D26="",E26=""),"",IF(E26&gt;D26,MAX(0,MIN(1,(TODAY()-D26)/(E26-D26))),IF(TODAY()&gt;=E26,1,0)))</f>
        <v>0</v>
      </c>
      <c r="K26" s="52" t="n">
        <f aca="false">IF(J26="","",ROUND(J26*100-H26*100,0))</f>
        <v>0</v>
      </c>
      <c r="L26" s="62" t="str">
        <f aca="true">IF(OR(D26="",E26=""),"GREY",IF(G26="On hold","GREY",IF(G26="Done","GREEN",IF(E26&lt;TODAY(),"RED",IF(K26&gt;=30,"RED",IF(K26&gt;=15,"AMBER","GREEN"))))))</f>
        <v>GREEN</v>
      </c>
      <c r="M26" s="53" t="s">
        <v>273</v>
      </c>
    </row>
    <row r="27" customFormat="false" ht="30" hidden="false" customHeight="true" outlineLevel="0" collapsed="false">
      <c r="A27" s="52" t="n">
        <v>17</v>
      </c>
      <c r="B27" s="53" t="s">
        <v>578</v>
      </c>
      <c r="C27" s="53" t="s">
        <v>41</v>
      </c>
      <c r="D27" s="55" t="n">
        <f aca="false">EventDate+4</f>
        <v>46706</v>
      </c>
      <c r="E27" s="55" t="n">
        <f aca="false">EventDate+36</f>
        <v>46738</v>
      </c>
      <c r="F27" s="55" t="n">
        <f aca="false">E27+14</f>
        <v>46752</v>
      </c>
      <c r="G27" s="52" t="s">
        <v>157</v>
      </c>
      <c r="H27" s="61" t="n">
        <v>0</v>
      </c>
      <c r="I27" s="52" t="n">
        <f aca="true">IF(E27="","",IF(G27="Done","Done",E27-TODAY()))</f>
        <v>417</v>
      </c>
      <c r="J27" s="61" t="n">
        <f aca="true">IF(OR(D27="",E27=""),"",IF(E27&gt;D27,MAX(0,MIN(1,(TODAY()-D27)/(E27-D27))),IF(TODAY()&gt;=E27,1,0)))</f>
        <v>0</v>
      </c>
      <c r="K27" s="52" t="n">
        <f aca="false">IF(J27="","",ROUND(J27*100-H27*100,0))</f>
        <v>0</v>
      </c>
      <c r="L27" s="62" t="str">
        <f aca="true">IF(OR(D27="",E27=""),"GREY",IF(G27="On hold","GREY",IF(G27="Done","GREEN",IF(E27&lt;TODAY(),"RED",IF(K27&gt;=30,"RED",IF(K27&gt;=15,"AMBER","GREEN"))))))</f>
        <v>GREEN</v>
      </c>
      <c r="M27" s="53" t="s">
        <v>273</v>
      </c>
    </row>
  </sheetData>
  <mergeCells count="9">
    <mergeCell ref="A1:M1"/>
    <mergeCell ref="A2:M2"/>
    <mergeCell ref="A3:C3"/>
    <mergeCell ref="A4:M4"/>
    <mergeCell ref="A6:M6"/>
    <mergeCell ref="A10:M10"/>
    <mergeCell ref="A17:M17"/>
    <mergeCell ref="A22:M22"/>
    <mergeCell ref="A25:M25"/>
  </mergeCells>
  <conditionalFormatting sqref="L6:L27">
    <cfRule type="cellIs" priority="2" operator="equal" aboveAverage="0" equalAverage="0" bottom="0" percent="0" rank="0" text="" dxfId="0">
      <formula>"RED"</formula>
    </cfRule>
    <cfRule type="cellIs" priority="3" operator="equal" aboveAverage="0" equalAverage="0" bottom="0" percent="0" rank="0" text="" dxfId="8">
      <formula>"AMBER"</formula>
    </cfRule>
    <cfRule type="cellIs" priority="4" operator="equal" aboveAverage="0" equalAverage="0" bottom="0" percent="0" rank="0" text="" dxfId="9">
      <formula>"GREEN"</formula>
    </cfRule>
    <cfRule type="cellIs" priority="5" operator="equal" aboveAverage="0" equalAverage="0" bottom="0" percent="0" rank="0" text="" dxfId="10">
      <formula>"GREY"</formula>
    </cfRule>
  </conditionalFormatting>
  <conditionalFormatting sqref="G6:G27">
    <cfRule type="cellIs" priority="6" operator="equal" aboveAverage="0" equalAverage="0" bottom="0" percent="0" rank="0" text="" dxfId="3">
      <formula>"Done"</formula>
    </cfRule>
    <cfRule type="cellIs" priority="7" operator="equal" aboveAverage="0" equalAverage="0" bottom="0" percent="0" rank="0" text="" dxfId="11">
      <formula>"In progress"</formula>
    </cfRule>
    <cfRule type="cellIs" priority="8" operator="equal" aboveAverage="0" equalAverage="0" bottom="0" percent="0" rank="0" text="" dxfId="5">
      <formula>"Blocked"</formula>
    </cfRule>
    <cfRule type="cellIs" priority="9" operator="equal" aboveAverage="0" equalAverage="0" bottom="0" percent="0" rank="0" text="" dxfId="12">
      <formula>"On hold"</formula>
    </cfRule>
  </conditionalFormatting>
  <conditionalFormatting sqref="H6:H27">
    <cfRule type="colorScale" priority="10">
      <colorScale>
        <cfvo type="num" val="0"/>
        <cfvo type="num" val="1"/>
        <color rgb="FFFFFFFF"/>
        <color rgb="FFA9D08E"/>
      </colorScale>
    </cfRule>
  </conditionalFormatting>
  <conditionalFormatting sqref="M3">
    <cfRule type="expression" priority="11" aboveAverage="0" equalAverage="0" bottom="0" percent="0" rank="0" text="" dxfId="3">
      <formula>$I$3+$K$3=0</formula>
    </cfRule>
    <cfRule type="expression" priority="12" aboveAverage="0" equalAverage="0" bottom="0" percent="0" rank="0" text="" dxfId="5">
      <formula>$I$3+$K$3&gt;0</formula>
    </cfRule>
  </conditionalFormatting>
  <dataValidations count="2">
    <dataValidation allowBlank="false" error="Enter a value between 0% and 100%." errorStyle="stop" errorTitle="Progress" operator="between" showDropDown="false" showErrorMessage="false" showInputMessage="false" sqref="H6:H27" type="decimal">
      <formula1>0</formula1>
      <formula2>1</formula2>
    </dataValidation>
    <dataValidation allowBlank="false" errorStyle="stop" operator="between" showDropDown="false" showErrorMessage="false" showInputMessage="false" sqref="G6:G27" type="list">
      <formula1>"Not started,In progress,Done,Blocked,On hold"</formula1>
      <formula2>0</formula2>
    </dataValidation>
  </dataValidations>
  <printOptions headings="false" gridLines="false" gridLinesSet="true" horizontalCentered="false" verticalCentered="false"/>
  <pageMargins left="0.4" right="0.4" top="0.5" bottom="0.5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&amp;A  -  page &amp;P of &amp;N  -  PROPOSED date, subject to sponsor approval</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A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0"/>
  </cols>
  <sheetData>
    <row r="1" customFormat="false" ht="27.75" hidden="false" customHeight="true" outlineLevel="0" collapsed="false">
      <c r="A1" s="69" t="s">
        <v>579</v>
      </c>
    </row>
    <row r="2" customFormat="false" ht="16.5" hidden="false" customHeight="true" outlineLevel="0" collapsed="false">
      <c r="A2" s="70" t="s">
        <v>86</v>
      </c>
    </row>
    <row r="3" customFormat="false" ht="16.5" hidden="false" customHeight="true" outlineLevel="0" collapsed="false">
      <c r="A3" s="71" t="s">
        <v>580</v>
      </c>
    </row>
    <row r="4" customFormat="false" ht="30.75" hidden="false" customHeight="true" outlineLevel="0" collapsed="false">
      <c r="A4" s="71" t="s">
        <v>581</v>
      </c>
    </row>
    <row r="5" customFormat="false" ht="30.75" hidden="false" customHeight="true" outlineLevel="0" collapsed="false">
      <c r="A5" s="71" t="s">
        <v>582</v>
      </c>
    </row>
    <row r="6" customFormat="false" ht="16.5" hidden="false" customHeight="true" outlineLevel="0" collapsed="false">
      <c r="A6" s="71" t="s">
        <v>583</v>
      </c>
    </row>
    <row r="7" customFormat="false" ht="45" hidden="false" customHeight="true" outlineLevel="0" collapsed="false">
      <c r="A7" s="71" t="s">
        <v>584</v>
      </c>
    </row>
    <row r="8" customFormat="false" ht="30.75" hidden="false" customHeight="true" outlineLevel="0" collapsed="false">
      <c r="A8" s="71" t="s">
        <v>585</v>
      </c>
    </row>
    <row r="9" customFormat="false" ht="30.75" hidden="false" customHeight="true" outlineLevel="0" collapsed="false">
      <c r="A9" s="71" t="s">
        <v>586</v>
      </c>
    </row>
    <row r="10" customFormat="false" ht="16.5" hidden="false" customHeight="true" outlineLevel="0" collapsed="false">
      <c r="A10" s="71" t="s">
        <v>587</v>
      </c>
    </row>
    <row r="11" customFormat="false" ht="15" hidden="false" customHeight="false" outlineLevel="0" collapsed="false">
      <c r="A11" s="71"/>
    </row>
    <row r="12" customFormat="false" ht="15" hidden="false" customHeight="false" outlineLevel="0" collapsed="false">
      <c r="A12" s="72" t="s">
        <v>588</v>
      </c>
    </row>
    <row r="13" customFormat="false" ht="45" hidden="false" customHeight="true" outlineLevel="0" collapsed="false">
      <c r="A13" s="71" t="s">
        <v>589</v>
      </c>
    </row>
    <row r="14" customFormat="false" ht="30.75" hidden="false" customHeight="true" outlineLevel="0" collapsed="false">
      <c r="A14" s="71" t="s">
        <v>590</v>
      </c>
    </row>
    <row r="15" customFormat="false" ht="15" hidden="false" customHeight="false" outlineLevel="0" collapsed="false">
      <c r="A15" s="71"/>
    </row>
    <row r="16" customFormat="false" ht="15" hidden="false" customHeight="false" outlineLevel="0" collapsed="false">
      <c r="A16" s="72" t="s">
        <v>591</v>
      </c>
    </row>
    <row r="17" customFormat="false" ht="58.5" hidden="false" customHeight="true" outlineLevel="0" collapsed="false">
      <c r="A17" s="71" t="s">
        <v>592</v>
      </c>
    </row>
    <row r="18" customFormat="false" ht="30.75" hidden="false" customHeight="true" outlineLevel="0" collapsed="false">
      <c r="A18" s="71" t="s">
        <v>593</v>
      </c>
    </row>
    <row r="19" customFormat="false" ht="15" hidden="false" customHeight="false" outlineLevel="0" collapsed="false">
      <c r="A19" s="71"/>
    </row>
    <row r="20" customFormat="false" ht="15" hidden="false" customHeight="false" outlineLevel="0" collapsed="false">
      <c r="A20" s="72" t="s">
        <v>594</v>
      </c>
    </row>
    <row r="21" customFormat="false" ht="30.75" hidden="false" customHeight="true" outlineLevel="0" collapsed="false">
      <c r="A21" s="71" t="s">
        <v>595</v>
      </c>
    </row>
    <row r="22" customFormat="false" ht="30.75" hidden="false" customHeight="true" outlineLevel="0" collapsed="false">
      <c r="A22" s="71" t="s">
        <v>596</v>
      </c>
    </row>
    <row r="23" customFormat="false" ht="30.75" hidden="false" customHeight="true" outlineLevel="0" collapsed="false">
      <c r="A23" s="71" t="s">
        <v>597</v>
      </c>
    </row>
    <row r="24" customFormat="false" ht="16.5" hidden="false" customHeight="true" outlineLevel="0" collapsed="false">
      <c r="A24" s="71" t="s">
        <v>598</v>
      </c>
    </row>
    <row r="25" customFormat="false" ht="15" hidden="false" customHeight="false" outlineLevel="0" collapsed="false">
      <c r="A25" s="71"/>
    </row>
    <row r="26" customFormat="false" ht="15" hidden="false" customHeight="false" outlineLevel="0" collapsed="false">
      <c r="A26" s="72" t="s">
        <v>599</v>
      </c>
    </row>
    <row r="27" customFormat="false" ht="16.5" hidden="false" customHeight="true" outlineLevel="0" collapsed="false">
      <c r="A27" s="71" t="s">
        <v>600</v>
      </c>
    </row>
    <row r="28" customFormat="false" ht="16.5" hidden="false" customHeight="true" outlineLevel="0" collapsed="false">
      <c r="A28" s="71" t="s">
        <v>601</v>
      </c>
    </row>
    <row r="29" customFormat="false" ht="16.5" hidden="false" customHeight="true" outlineLevel="0" collapsed="false">
      <c r="A29" s="71" t="s">
        <v>602</v>
      </c>
    </row>
    <row r="30" customFormat="false" ht="16.5" hidden="false" customHeight="true" outlineLevel="0" collapsed="false">
      <c r="A30" s="71" t="s">
        <v>603</v>
      </c>
    </row>
    <row r="31" customFormat="false" ht="30.75" hidden="false" customHeight="true" outlineLevel="0" collapsed="false">
      <c r="A31" s="71" t="s">
        <v>604</v>
      </c>
    </row>
    <row r="32" customFormat="false" ht="16.5" hidden="false" customHeight="true" outlineLevel="0" collapsed="false">
      <c r="A32" s="71" t="s">
        <v>605</v>
      </c>
    </row>
    <row r="33" customFormat="false" ht="16.5" hidden="false" customHeight="true" outlineLevel="0" collapsed="false">
      <c r="A33" s="71" t="s">
        <v>606</v>
      </c>
    </row>
    <row r="34" customFormat="false" ht="16.5" hidden="false" customHeight="true" outlineLevel="0" collapsed="false">
      <c r="A34" s="71" t="s">
        <v>607</v>
      </c>
    </row>
    <row r="35" customFormat="false" ht="16.5" hidden="false" customHeight="true" outlineLevel="0" collapsed="false">
      <c r="A35" s="71" t="s">
        <v>608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2026-10-27T02:48:14Z</dcterms:created>
  <dc:creator>openpyxl</dc:creator>
  <dc:description/>
  <dc:language>en-US</dc:language>
  <cp:lastModifiedBy/>
  <dcterms:modified xsi:type="dcterms:W3CDTF">2026-10-27T02:48:14Z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